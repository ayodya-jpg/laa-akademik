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8_{6399C679-8D10-4FCF-AFD2-0A9388017A5D}" xr6:coauthVersionLast="47" xr6:coauthVersionMax="47" xr10:uidLastSave="{00000000-0000-0000-0000-000000000000}"/>
  <bookViews>
    <workbookView xWindow="-120" yWindow="-120" windowWidth="29040" windowHeight="15720" xr2:uid="{D139DC80-03F2-49B9-B9EA-8C452A41F1B9}"/>
  </bookViews>
  <sheets>
    <sheet name="Dosen" sheetId="1" r:id="rId1"/>
  </sheets>
  <externalReferences>
    <externalReference r:id="rId2"/>
  </externalReferences>
  <definedNames>
    <definedName name="_xlnm._FilterDatabase" localSheetId="0" hidden="1">Dosen!$A$1:$G$138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3" i="1" l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F135" i="1"/>
  <c r="F134" i="1"/>
  <c r="F133" i="1"/>
  <c r="F132" i="1"/>
  <c r="G131" i="1"/>
  <c r="F131" i="1"/>
  <c r="G130" i="1"/>
  <c r="F130" i="1"/>
  <c r="G129" i="1"/>
  <c r="F129" i="1"/>
  <c r="G128" i="1"/>
  <c r="F128" i="1"/>
  <c r="G127" i="1"/>
  <c r="F127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<sst xmlns="http://schemas.openxmlformats.org/spreadsheetml/2006/main" count="453" uniqueCount="183">
  <si>
    <t>No</t>
  </si>
  <si>
    <t>NAMA</t>
  </si>
  <si>
    <t>Status Aktif</t>
  </si>
  <si>
    <t>PRODI</t>
  </si>
  <si>
    <t>NIP YPT</t>
  </si>
  <si>
    <t>Nama Gelar</t>
  </si>
  <si>
    <t>Kode Dosen Baru</t>
  </si>
  <si>
    <t>Tri Agus Djoko Kuntjoro</t>
  </si>
  <si>
    <t>Aktif</t>
  </si>
  <si>
    <t>Teknik Telekomunikasi</t>
  </si>
  <si>
    <t>Dwi Edi Setyawan</t>
  </si>
  <si>
    <t>Teknik Elektro</t>
  </si>
  <si>
    <t>Moch. Iskandar Riansyah</t>
  </si>
  <si>
    <t>Khodijah Amiroh</t>
  </si>
  <si>
    <t>Teknologi Informasi</t>
  </si>
  <si>
    <t>Dimas Adiputra</t>
  </si>
  <si>
    <t>Isa Hafidz</t>
  </si>
  <si>
    <t>Walid Maulana Hadiansyah</t>
  </si>
  <si>
    <t>Farah Zakiyah Rahmanti</t>
  </si>
  <si>
    <t>Helmy Widyantara</t>
  </si>
  <si>
    <t>Wahyu Andy Prastyabudi</t>
  </si>
  <si>
    <t>Teknik Industri</t>
  </si>
  <si>
    <t>Fidi Wincoko Putro</t>
  </si>
  <si>
    <t>Rekayasa Perangkat Lunak</t>
  </si>
  <si>
    <t>Philip Tobianto Daely</t>
  </si>
  <si>
    <t>Anifatul Faricha</t>
  </si>
  <si>
    <t>Mohammad Sholik</t>
  </si>
  <si>
    <t>Anfazul Faridatul Azizah</t>
  </si>
  <si>
    <t>Sistem Informasi</t>
  </si>
  <si>
    <t>Hamzah Ulinuha Mustakim</t>
  </si>
  <si>
    <t>Mohamad Yani</t>
  </si>
  <si>
    <t>Teknik Komputer</t>
  </si>
  <si>
    <t>Muhsin</t>
  </si>
  <si>
    <t>Nilla Rachmaningrum</t>
  </si>
  <si>
    <t>Arliyanti Nurdin</t>
  </si>
  <si>
    <t>Non-Aktif</t>
  </si>
  <si>
    <t>Noerma Pudji Istyanto</t>
  </si>
  <si>
    <t>Lora Khaula Amifia</t>
  </si>
  <si>
    <t>Ully Asfari</t>
  </si>
  <si>
    <t>Ubaidillah Umar</t>
  </si>
  <si>
    <t>Oktavia Ayu Permata</t>
  </si>
  <si>
    <t>Dominggo Bayu Baskara</t>
  </si>
  <si>
    <t>Digital Bisnis</t>
  </si>
  <si>
    <t>Billy Montolalu</t>
  </si>
  <si>
    <t>Yupit Sudianto</t>
  </si>
  <si>
    <t>Dewi Rahmawati</t>
  </si>
  <si>
    <t>Ardiansyah Al Farouq</t>
  </si>
  <si>
    <t>Ardian Yusuf Wicaksono</t>
  </si>
  <si>
    <t>Informatika</t>
  </si>
  <si>
    <t>Rahaditya Dimas Prihadianto</t>
  </si>
  <si>
    <t>Rizqa Amelia Zunaidi</t>
  </si>
  <si>
    <t>Titus Kristanto</t>
  </si>
  <si>
    <t>Pangestu Widodo</t>
  </si>
  <si>
    <t>Abduh Sayid Albana</t>
  </si>
  <si>
    <t>Teknik Logistik</t>
  </si>
  <si>
    <t>Hawwin Mardhiana</t>
  </si>
  <si>
    <t>Benazir Imam Arif Muttaqin</t>
  </si>
  <si>
    <t>Bernadus Anggo Seno Aji</t>
  </si>
  <si>
    <t>Rokhmatul Insani</t>
  </si>
  <si>
    <t>Agus Sulistya</t>
  </si>
  <si>
    <t>Risdilah Mimma Untsa</t>
  </si>
  <si>
    <t>Susijanto Tri Rasmana</t>
  </si>
  <si>
    <t>Ayu Endah Wahyuni</t>
  </si>
  <si>
    <t>Muhamad Nasrullah</t>
  </si>
  <si>
    <t>Sekar Widyasari Putri</t>
  </si>
  <si>
    <t>Riza Akhsani Setyo Prayoga</t>
  </si>
  <si>
    <t>Ahmad Wali Satria Bahari Johan</t>
  </si>
  <si>
    <t>Muhammad Dzulfikar Fauzi</t>
  </si>
  <si>
    <t>Kharisma Monika Dian Pertiwi</t>
  </si>
  <si>
    <t>Rizky Fenaldo Maulana</t>
  </si>
  <si>
    <t>Amalia Nur Alifah</t>
  </si>
  <si>
    <t>Sains Data</t>
  </si>
  <si>
    <t>Helisyah Nur Fadhilah</t>
  </si>
  <si>
    <t>Moh. Hamim Zajuli Al Faroby</t>
  </si>
  <si>
    <t>Ahmad Faisal Dahlan</t>
  </si>
  <si>
    <t>Desita Nur Rachmaniar</t>
  </si>
  <si>
    <t>Granita Hajar</t>
  </si>
  <si>
    <t>Nisa Isrofi</t>
  </si>
  <si>
    <t>Fannush Shofi Akbar</t>
  </si>
  <si>
    <t>Aulia Rahma Annisa</t>
  </si>
  <si>
    <t>Aris Kusumawati</t>
  </si>
  <si>
    <t>Mochamad Nizar Palefi Ma'ady</t>
  </si>
  <si>
    <t>Purnama Anaking</t>
  </si>
  <si>
    <t>Arrizky Ayu Faradila Purnama</t>
  </si>
  <si>
    <t>Regita Putri Permata</t>
  </si>
  <si>
    <t>Rifdatun Ni'mah</t>
  </si>
  <si>
    <t>Rifa Atul Izza Asyari</t>
  </si>
  <si>
    <t>Muhammad Adib Kamali</t>
  </si>
  <si>
    <t>Raulia Riski</t>
  </si>
  <si>
    <t>Sri Hidayati</t>
  </si>
  <si>
    <t>Fauzan Nusyura</t>
  </si>
  <si>
    <t>Caesareano Lafado Yesa</t>
  </si>
  <si>
    <t>Achmad Muzakki</t>
  </si>
  <si>
    <t>Silvi Istiqomah</t>
  </si>
  <si>
    <t>Darlin Aulia</t>
  </si>
  <si>
    <t>Perdana Suteja Putra</t>
  </si>
  <si>
    <t>Nanda Iryani</t>
  </si>
  <si>
    <t>Agoes Windarto</t>
  </si>
  <si>
    <t>Adzanil Rachmadhi Putra</t>
  </si>
  <si>
    <t>Affifiana Prisyanti</t>
  </si>
  <si>
    <t>Alifiansyah Arrizqy Hidayat</t>
  </si>
  <si>
    <t>Anisa Dzulkarnain</t>
  </si>
  <si>
    <t>Anita Hakim Nasution</t>
  </si>
  <si>
    <t>Arip Ramadan</t>
  </si>
  <si>
    <t>Wachda Yuniar Rochmah</t>
  </si>
  <si>
    <t>Mustafa Kamal</t>
  </si>
  <si>
    <t>Yohanes Setiawan</t>
  </si>
  <si>
    <t>Rosyid Abdillah</t>
  </si>
  <si>
    <t>Vessa Rizky Oktavia</t>
  </si>
  <si>
    <t>Alqis Rausanfita</t>
  </si>
  <si>
    <t>Rifki Dwi Putranto</t>
  </si>
  <si>
    <t>Huki Chandra</t>
  </si>
  <si>
    <t>Tita Ayu Rospricilia</t>
  </si>
  <si>
    <t>Dahliar Ananda</t>
  </si>
  <si>
    <t>09820030</t>
  </si>
  <si>
    <t>Hendy Briantoro</t>
  </si>
  <si>
    <t>Berlian Rahmy Lidiawaty</t>
  </si>
  <si>
    <t>Mohammad Yanuar Hariyawan</t>
  </si>
  <si>
    <t>Chaironi Latif</t>
  </si>
  <si>
    <t>Aufar Fikri Dimyati</t>
  </si>
  <si>
    <t>Muhammad Ilham Alhari</t>
  </si>
  <si>
    <t>Adisya Resti Rahmadanti</t>
  </si>
  <si>
    <t>Arni Muarifah Amri</t>
  </si>
  <si>
    <t>Daud Muhajir</t>
  </si>
  <si>
    <t>Dyah Putri Rahmawati</t>
  </si>
  <si>
    <t>Eka Sari Oktarina</t>
  </si>
  <si>
    <t>Krisnayanti Aditasari</t>
  </si>
  <si>
    <t>Pima Hani Safitri</t>
  </si>
  <si>
    <t>Tanzilal Mustaqim</t>
  </si>
  <si>
    <t>Mastuty Ayu Ningtyas</t>
  </si>
  <si>
    <t>Paramaditya Arismawati</t>
  </si>
  <si>
    <t>Tri Arief Sardjono</t>
  </si>
  <si>
    <t>Nicko Nur Rakhmaddian</t>
  </si>
  <si>
    <t>Bambang Lelono Widjiantoro</t>
  </si>
  <si>
    <t>Fandisya Rahman</t>
  </si>
  <si>
    <t>Rudi Harianto</t>
  </si>
  <si>
    <t>N. Azizia Gia Mutiarasari</t>
  </si>
  <si>
    <t>Dimas Chaerul Ekty Saputra</t>
  </si>
  <si>
    <t>Bambang Agus Sumantri</t>
  </si>
  <si>
    <t>Erly Ekayanti Rosyida</t>
  </si>
  <si>
    <t>EYE</t>
  </si>
  <si>
    <t>Erly Ekayanti Rosyida, S.T., M.T.</t>
  </si>
  <si>
    <t>Annisa Ramadhan</t>
  </si>
  <si>
    <t>HDN</t>
  </si>
  <si>
    <t>Annisa Ramadhan, S.Stat. M.Stat.</t>
  </si>
  <si>
    <t>Egi Gumala Sari</t>
  </si>
  <si>
    <t>EGS</t>
  </si>
  <si>
    <t>Egi Gumala Sari, S.E., M.Ak.</t>
  </si>
  <si>
    <t>Sulthan Rafif</t>
  </si>
  <si>
    <t>SUL</t>
  </si>
  <si>
    <t>Sulthan Rafif, S.Tr.Kom., M.Kom.</t>
  </si>
  <si>
    <t>Wahyu Eka Kiswardani</t>
  </si>
  <si>
    <t>WEK</t>
  </si>
  <si>
    <t>Wahyu Eka Kiswardhani, S.M., M.M.</t>
  </si>
  <si>
    <t>Hussein Gibreel Musa Salih</t>
  </si>
  <si>
    <t>HGM</t>
  </si>
  <si>
    <t>Hussein Gibreel Musa Salih, B.Art., M.I.kom., Ph.D.</t>
  </si>
  <si>
    <t>Yasinta Romadhona</t>
  </si>
  <si>
    <t>YSO</t>
  </si>
  <si>
    <t>Yasinta Romadhona, S.Kom., M.Kom.</t>
  </si>
  <si>
    <t>Alon Jala Tirta Segara</t>
  </si>
  <si>
    <t>Muhammad Farhansyah Mondari</t>
  </si>
  <si>
    <t>Rizqi Ramadhan</t>
  </si>
  <si>
    <t>Rohmah Hidayah</t>
  </si>
  <si>
    <t>Aktif-NoCount</t>
  </si>
  <si>
    <t>⁠Salsabila Putri Indah Sari</t>
  </si>
  <si>
    <t>Qori Afiata Fiddina</t>
  </si>
  <si>
    <t>QAF</t>
  </si>
  <si>
    <t>Nuchaila Ainiyah</t>
  </si>
  <si>
    <t>NHH</t>
  </si>
  <si>
    <t>Faisal Zaidan Pradana</t>
  </si>
  <si>
    <t>FZP</t>
  </si>
  <si>
    <t>Rafika Damayanti Sururin Nufus</t>
  </si>
  <si>
    <t>FYF</t>
  </si>
  <si>
    <t>Affifah Mutiara Pertiwi</t>
  </si>
  <si>
    <t>Karina Fitriwulandari Ilham</t>
  </si>
  <si>
    <t>Fanda Lyta Suzanayanti</t>
  </si>
  <si>
    <t>01760006</t>
  </si>
  <si>
    <t>Laila Putri Faradilah</t>
  </si>
  <si>
    <t>Rizal Ardianto</t>
  </si>
  <si>
    <t>Siskha Nur Khasanah</t>
  </si>
  <si>
    <t>Qashiratuth Tharfi Aini</t>
  </si>
  <si>
    <t>Erita Cicilia Febrianti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</si>
</sst>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3" x14ac:knownFonts="1">
    <font>
      <sz val="11"/>
      <color theme="1"/>
      <name val="Aptos Narrow"/>
      <family val="2"/>
      <scheme val="minor"/>
    </font>
    <font>
      <b/>
      <sz val="14"/>
      <color rgb="FF000000"/>
      <name val="Arial Narrow"/>
      <family val="2"/>
    </font>
    <font>
      <sz val="14"/>
      <color rgb="FF00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EA999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" xfId="0" quotePrefix="1" applyFont="1" applyBorder="1" applyAlignment="1">
      <alignment horizontal="right" vertical="center"/>
    </xf>
  </cellXfs>
  <cellStyles count="1">
    <cellStyle name="Normal" xfId="0" builtinId="0"/>
  </cellStyles>
  <dxfs count="2">
    <dxf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uham\Downloads\Master%20Data%20Pegawai%20(6).xlsx" TargetMode="External"/><Relationship Id="rId1" Type="http://schemas.openxmlformats.org/officeDocument/2006/relationships/externalLinkPath" Target="Master%20Data%20Pegawai%20(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Pegawai"/>
      <sheetName val="Sheet4"/>
      <sheetName val="Proyeksi LK GB"/>
      <sheetName val="Dosen"/>
      <sheetName val="Sheet2"/>
      <sheetName val="Sheet1"/>
      <sheetName val="TPA"/>
      <sheetName val="Rekap Jumlah Pegawai"/>
      <sheetName val="Nisbah dan Rekrut 2026"/>
      <sheetName val="Reporting 1"/>
      <sheetName val="Reporting 2"/>
      <sheetName val="Reporting 3"/>
      <sheetName val="Pengawakan"/>
      <sheetName val="Join TPA Dosen"/>
      <sheetName val="KK &amp; COE"/>
      <sheetName val="Proyeksi Dosen"/>
      <sheetName val="Fasker"/>
      <sheetName val="Pelatihan Sertifikasi"/>
      <sheetName val="Nisbah dan Rekrut"/>
      <sheetName val="Dosen sorted"/>
      <sheetName val="ProyeksiMahasiswa"/>
      <sheetName val="Data Pelatihan"/>
      <sheetName val="Akreditasi.16"/>
      <sheetName val="Akreditasi.17"/>
      <sheetName val="Akreditasi.18"/>
      <sheetName val="Temp - SPT Serdos 2024"/>
    </sheetNames>
    <sheetDataSet>
      <sheetData sheetId="0"/>
      <sheetData sheetId="1"/>
      <sheetData sheetId="2"/>
      <sheetData sheetId="3"/>
      <sheetData sheetId="4">
        <row r="2">
          <cell r="A2" t="str">
            <v>Tri Agus Djoko Kuntjoro</v>
          </cell>
          <cell r="B2" t="str">
            <v>Malang</v>
          </cell>
          <cell r="C2">
            <v>22674</v>
          </cell>
          <cell r="D2" t="str">
            <v>Dosen</v>
          </cell>
          <cell r="E2" t="str">
            <v>Intelligent Communications and Networks (ICON)</v>
          </cell>
          <cell r="F2" t="str">
            <v>ORO</v>
          </cell>
          <cell r="G2" t="str">
            <v>Fakultas Teknik Elektro</v>
          </cell>
          <cell r="H2" t="str">
            <v>triagusdjokokuntjoro@telkomuniversity.ac.id</v>
          </cell>
          <cell r="I2" t="str">
            <v>Ir. Tri Agus Djoko Kuntjoro, M.T.</v>
          </cell>
        </row>
        <row r="3">
          <cell r="A3" t="str">
            <v>Dwi Edi Setyawan</v>
          </cell>
          <cell r="B3" t="str">
            <v>Surabaya</v>
          </cell>
          <cell r="C3">
            <v>31941</v>
          </cell>
          <cell r="D3" t="str">
            <v>Dosen</v>
          </cell>
          <cell r="E3" t="str">
            <v>Control, Elektronics, and Intelligent Systems (CEIS)</v>
          </cell>
          <cell r="F3" t="str">
            <v>DWZ</v>
          </cell>
          <cell r="G3" t="str">
            <v>Fakultas Teknik Elektro</v>
          </cell>
          <cell r="H3" t="str">
            <v>dwiedi@telkomuniversity.ac.id</v>
          </cell>
          <cell r="I3" t="str">
            <v>Dwi Edi Setyawan, S.T., M.T.</v>
          </cell>
        </row>
        <row r="4">
          <cell r="A4" t="str">
            <v>Moch. Iskandar Riansyah</v>
          </cell>
          <cell r="B4" t="str">
            <v>Jember</v>
          </cell>
          <cell r="C4">
            <v>32315</v>
          </cell>
          <cell r="D4" t="str">
            <v>Dosen</v>
          </cell>
          <cell r="E4" t="str">
            <v>Control, Elektronics, and Intelligent Systems (CEIS)</v>
          </cell>
          <cell r="F4" t="str">
            <v>ISC</v>
          </cell>
          <cell r="G4" t="str">
            <v>Fakultas Teknik Elektro</v>
          </cell>
          <cell r="H4" t="str">
            <v>riansyah@telkomuniversity.ac.id</v>
          </cell>
          <cell r="I4" t="str">
            <v>Moch. Iskandar Riansyah, S.ST., M.T.</v>
          </cell>
        </row>
        <row r="5">
          <cell r="A5" t="str">
            <v>Khodijah Amiroh</v>
          </cell>
          <cell r="B5" t="str">
            <v>Tangerang</v>
          </cell>
          <cell r="C5">
            <v>33763</v>
          </cell>
          <cell r="D5" t="str">
            <v>Dosen</v>
          </cell>
          <cell r="E5" t="str">
            <v>Communication and Information Technology Infrastructure (CITI)</v>
          </cell>
          <cell r="F5" t="str">
            <v>DIJ</v>
          </cell>
          <cell r="G5" t="str">
            <v>Fakultas Informatika</v>
          </cell>
          <cell r="H5" t="str">
            <v>dijaamirah@telkomuniversity.ac.id</v>
          </cell>
          <cell r="I5" t="str">
            <v>Khodijah Amiroh, S.ST., M.T.</v>
          </cell>
        </row>
        <row r="6">
          <cell r="A6" t="str">
            <v>Dimas Adiputra</v>
          </cell>
          <cell r="B6" t="str">
            <v>Jakarta</v>
          </cell>
          <cell r="C6">
            <v>34114</v>
          </cell>
          <cell r="D6" t="str">
            <v>COE</v>
          </cell>
          <cell r="E6" t="str">
            <v>Control, Elektronics, and Intelligent Systems (CEIS)</v>
          </cell>
          <cell r="F6" t="str">
            <v>DIV</v>
          </cell>
          <cell r="G6" t="str">
            <v>Fakultas Teknik Elektro</v>
          </cell>
          <cell r="H6" t="str">
            <v>dimasze@telkomuniversity.ac.id</v>
          </cell>
          <cell r="I6" t="str">
            <v xml:space="preserve"> Dimas Adiputra, B.Sc., M.Phil., Ph.D.</v>
          </cell>
        </row>
        <row r="7">
          <cell r="A7" t="str">
            <v>Isa Hafidz</v>
          </cell>
          <cell r="B7" t="str">
            <v>Surabaya</v>
          </cell>
          <cell r="C7">
            <v>33752</v>
          </cell>
          <cell r="D7" t="str">
            <v>Kaprodi</v>
          </cell>
          <cell r="E7" t="str">
            <v>Control, Elektronics, and Intelligent Systems (CEIS)</v>
          </cell>
          <cell r="F7" t="str">
            <v>IHF</v>
          </cell>
          <cell r="G7" t="str">
            <v>Fakultas Teknik Elektro</v>
          </cell>
          <cell r="H7" t="str">
            <v>isahafidz@telkomuniversity.ac.id</v>
          </cell>
          <cell r="I7" t="str">
            <v>Dr. Isa Hafidz, S.T., M.T.</v>
          </cell>
        </row>
        <row r="8">
          <cell r="A8" t="str">
            <v>Walid Maulana Hadiansyah</v>
          </cell>
          <cell r="B8" t="str">
            <v>Jember</v>
          </cell>
          <cell r="C8">
            <v>32794</v>
          </cell>
          <cell r="D8" t="str">
            <v>Dosen</v>
          </cell>
          <cell r="E8" t="str">
            <v>Intelligent Communications and Networks (ICON)</v>
          </cell>
          <cell r="F8" t="str">
            <v>WMH</v>
          </cell>
          <cell r="G8" t="str">
            <v>Fakultas Teknik Elektro</v>
          </cell>
          <cell r="H8" t="str">
            <v>wmhadiansyah@telkomuniversity.ac.id</v>
          </cell>
          <cell r="I8" t="str">
            <v>Walid Maulana Hadiansyah, S.T., M.T.</v>
          </cell>
        </row>
        <row r="9">
          <cell r="A9" t="str">
            <v>Farah Zakiyah Rahmanti</v>
          </cell>
          <cell r="B9" t="str">
            <v>Surabaya</v>
          </cell>
          <cell r="C9">
            <v>32126</v>
          </cell>
          <cell r="D9" t="str">
            <v>Dosen</v>
          </cell>
          <cell r="E9" t="str">
            <v>Data Science and Intelligent Systems (DSIS)</v>
          </cell>
          <cell r="F9" t="str">
            <v>FZK</v>
          </cell>
          <cell r="G9" t="str">
            <v>Fakultas Informatika</v>
          </cell>
          <cell r="H9" t="str">
            <v>farahzakiyah@telkomuniversity.ac.id</v>
          </cell>
          <cell r="I9" t="str">
            <v>Farah Zakiyah Rahmanti, S.ST., M.T.</v>
          </cell>
        </row>
        <row r="10">
          <cell r="A10" t="str">
            <v>Helmy Widyantara</v>
          </cell>
          <cell r="B10" t="str">
            <v>Ngawi</v>
          </cell>
          <cell r="C10">
            <v>28872</v>
          </cell>
          <cell r="D10" t="str">
            <v>COE</v>
          </cell>
          <cell r="E10" t="str">
            <v>Communication and Information Technology Infrastructure (CITI)</v>
          </cell>
          <cell r="F10" t="str">
            <v>CAP</v>
          </cell>
          <cell r="G10" t="str">
            <v>Fakultas Informatika</v>
          </cell>
          <cell r="H10" t="str">
            <v>helmywidyantara@telkomuniversity.ac.id</v>
          </cell>
          <cell r="I10" t="str">
            <v>Dr. Helmy Widyantara, S.Kom., M.Eng.</v>
          </cell>
        </row>
        <row r="11">
          <cell r="A11" t="str">
            <v>Wahyu Andy Prastyabudi</v>
          </cell>
          <cell r="B11" t="str">
            <v>Madiun</v>
          </cell>
          <cell r="C11">
            <v>31812</v>
          </cell>
          <cell r="D11" t="str">
            <v>Dosen</v>
          </cell>
          <cell r="E11" t="str">
            <v>Enterprise and Industrial System (EINS)</v>
          </cell>
          <cell r="F11" t="str">
            <v>WAY</v>
          </cell>
          <cell r="G11" t="str">
            <v>Fakultas Rekayasa Industri</v>
          </cell>
          <cell r="H11" t="str">
            <v>wahyuandy@telkomuniversity.ac.id</v>
          </cell>
          <cell r="I11" t="str">
            <v>Wahyu Andy Prastyabudi, S.Kom., M.Sc.</v>
          </cell>
        </row>
        <row r="12">
          <cell r="A12" t="str">
            <v>Fidi Wincoko Putro</v>
          </cell>
          <cell r="B12" t="str">
            <v>Madiun</v>
          </cell>
          <cell r="C12">
            <v>31927</v>
          </cell>
          <cell r="D12" t="str">
            <v>Kaprodi</v>
          </cell>
          <cell r="E12" t="str">
            <v>Software Engineering and Algorithm (SEAL)</v>
          </cell>
          <cell r="F12" t="str">
            <v>FWP</v>
          </cell>
          <cell r="G12" t="str">
            <v>Fakultas Informatika</v>
          </cell>
          <cell r="H12" t="str">
            <v>fidiwputro@telkomuniversity.ac.id</v>
          </cell>
          <cell r="I12" t="str">
            <v>Fidi Wincoko Putro, S.ST., M.Kom.</v>
          </cell>
        </row>
        <row r="13">
          <cell r="A13" t="str">
            <v>Philip Tobianto Daely</v>
          </cell>
          <cell r="B13" t="str">
            <v>Medan</v>
          </cell>
          <cell r="C13">
            <v>34513</v>
          </cell>
          <cell r="D13" t="str">
            <v>Ketua KK</v>
          </cell>
          <cell r="E13" t="str">
            <v>Communication and Information Technology Infrastructure (CITI)</v>
          </cell>
          <cell r="F13" t="str">
            <v>PHI</v>
          </cell>
          <cell r="G13" t="str">
            <v>Fakultas Informatika</v>
          </cell>
          <cell r="H13" t="str">
            <v>ptdaely@telkomuniversity.ac.id</v>
          </cell>
          <cell r="I13" t="str">
            <v>Philip Tobianto Daely, S.T., M.Eng., Ph.D.</v>
          </cell>
        </row>
        <row r="14">
          <cell r="A14" t="str">
            <v>Anifatul Faricha</v>
          </cell>
          <cell r="B14" t="str">
            <v>Lamongan</v>
          </cell>
          <cell r="C14">
            <v>33759</v>
          </cell>
          <cell r="D14" t="str">
            <v>Ketua KK</v>
          </cell>
          <cell r="E14" t="str">
            <v>Sustainable Material, Instrumentation, Energy, and Computation (SMART)</v>
          </cell>
          <cell r="F14" t="str">
            <v>EVE</v>
          </cell>
          <cell r="G14" t="str">
            <v>Fakultas Teknik Elektro</v>
          </cell>
          <cell r="H14" t="str">
            <v>faricha@telkomuniversity.ac.id</v>
          </cell>
          <cell r="I14" t="str">
            <v>Anifatul Faricha, S.T., M.Sc., Ph.D</v>
          </cell>
        </row>
        <row r="15">
          <cell r="A15" t="str">
            <v>Mohammad Sholik</v>
          </cell>
          <cell r="B15" t="str">
            <v>Gresik</v>
          </cell>
          <cell r="C15">
            <v>29929</v>
          </cell>
          <cell r="D15" t="str">
            <v>Dosen</v>
          </cell>
          <cell r="E15" t="str">
            <v>Data Science and Intelligent Systems (DSIS)</v>
          </cell>
          <cell r="F15" t="str">
            <v>HHH</v>
          </cell>
          <cell r="G15" t="str">
            <v>Fakultas Informatika</v>
          </cell>
          <cell r="H15" t="str">
            <v>mohammadsholik@telkomuniversity.ac.id</v>
          </cell>
          <cell r="I15" t="str">
            <v>Mohammad Sholik, S.Kom., M.Kom.</v>
          </cell>
        </row>
        <row r="16">
          <cell r="A16" t="str">
            <v>Anfazul Faridatul Azizah</v>
          </cell>
          <cell r="B16" t="str">
            <v>Surabaya</v>
          </cell>
          <cell r="C16">
            <v>32947</v>
          </cell>
          <cell r="D16" t="str">
            <v>Dosen</v>
          </cell>
          <cell r="E16" t="str">
            <v>Cybernetics</v>
          </cell>
          <cell r="F16" t="str">
            <v>AFC</v>
          </cell>
          <cell r="G16" t="str">
            <v>Fakultas Rekayasa Industri</v>
          </cell>
          <cell r="H16" t="str">
            <v>anfazulazizah@telkomuniversity.ac.id</v>
          </cell>
          <cell r="I16" t="str">
            <v>Anfazul Faridatul Azizah, S.Kom., M.Kom.</v>
          </cell>
        </row>
        <row r="17">
          <cell r="A17" t="str">
            <v>Hamzah Ulinuha Mustakim</v>
          </cell>
          <cell r="B17" t="str">
            <v>Blitar</v>
          </cell>
          <cell r="C17">
            <v>33020</v>
          </cell>
          <cell r="D17" t="str">
            <v>Dosen</v>
          </cell>
          <cell r="E17" t="str">
            <v>Intelligent Communications and Networks (ICON)</v>
          </cell>
          <cell r="F17" t="str">
            <v>ZAH</v>
          </cell>
          <cell r="G17" t="str">
            <v>Fakultas Teknik Elektro</v>
          </cell>
          <cell r="H17" t="str">
            <v>hamzahmustakim@telkomuniversity.ac.id</v>
          </cell>
          <cell r="I17" t="str">
            <v>Hamzah Ulinuha Mustakim, S.T., M.T.</v>
          </cell>
        </row>
        <row r="18">
          <cell r="A18" t="str">
            <v>Mohamad Yani</v>
          </cell>
          <cell r="B18" t="str">
            <v>Surabaya</v>
          </cell>
          <cell r="C18">
            <v>33250</v>
          </cell>
          <cell r="D18" t="str">
            <v>Dosen</v>
          </cell>
          <cell r="E18" t="str">
            <v>Control, Elektronics, and Intelligent Systems (CEIS)</v>
          </cell>
          <cell r="F18" t="str">
            <v>MIX</v>
          </cell>
          <cell r="G18" t="str">
            <v>Fakultas Teknik Elektro</v>
          </cell>
          <cell r="H18" t="str">
            <v>mohamadyani@telkomuniversity.ac.id</v>
          </cell>
          <cell r="I18" t="str">
            <v>Mohamad Yani, S.ST., M.Phil., Ph.D.</v>
          </cell>
        </row>
        <row r="19">
          <cell r="A19" t="str">
            <v>Muhsin</v>
          </cell>
          <cell r="B19" t="str">
            <v>Karanganyar</v>
          </cell>
          <cell r="C19">
            <v>34427</v>
          </cell>
          <cell r="D19" t="str">
            <v>Kabag</v>
          </cell>
          <cell r="E19" t="str">
            <v>Intelligent Communications and Networks (ICON)</v>
          </cell>
          <cell r="F19" t="str">
            <v>MCN</v>
          </cell>
          <cell r="G19" t="str">
            <v>Fakultas Teknik Elektro</v>
          </cell>
          <cell r="H19" t="str">
            <v>mmuhsin@telkomuniversity.ac.id</v>
          </cell>
          <cell r="I19" t="str">
            <v>Muhsin, S.T., M.T., Ph. D.</v>
          </cell>
        </row>
        <row r="20">
          <cell r="A20" t="str">
            <v>Nilla Rachmaningrum</v>
          </cell>
          <cell r="B20" t="str">
            <v>Madiun</v>
          </cell>
          <cell r="C20">
            <v>28649</v>
          </cell>
          <cell r="D20" t="str">
            <v>Dosen</v>
          </cell>
          <cell r="E20" t="str">
            <v>Intelligent Communications and Networks (ICON)</v>
          </cell>
          <cell r="F20" t="str">
            <v>NRR</v>
          </cell>
          <cell r="G20" t="str">
            <v>Fakultas Teknik Elektro</v>
          </cell>
          <cell r="H20" t="str">
            <v>nrachmaningrum@telkomuniversity.ac.id</v>
          </cell>
          <cell r="I20" t="str">
            <v>Nilla Rachmaningrum, S.T., M.T.</v>
          </cell>
        </row>
        <row r="21">
          <cell r="A21" t="str">
            <v>Arliyanti Nurdin</v>
          </cell>
          <cell r="B21" t="str">
            <v>Benteng</v>
          </cell>
          <cell r="C21">
            <v>33408</v>
          </cell>
          <cell r="D21" t="str">
            <v>Dosen</v>
          </cell>
          <cell r="E21" t="e">
            <v>#N/A</v>
          </cell>
          <cell r="F21" t="e">
            <v>#N/A</v>
          </cell>
          <cell r="G21" t="str">
            <v>Fakultas Informatika</v>
          </cell>
          <cell r="I21" t="str">
            <v>Arliyanti Nurdin, S.T., M.T.</v>
          </cell>
        </row>
        <row r="22">
          <cell r="A22" t="str">
            <v>Noerma Pudji Istyanto</v>
          </cell>
          <cell r="B22" t="str">
            <v>Sampang</v>
          </cell>
          <cell r="C22">
            <v>33018</v>
          </cell>
          <cell r="D22" t="str">
            <v>Dosen</v>
          </cell>
          <cell r="E22" t="str">
            <v>Enterprise and Industrial System (EINS)</v>
          </cell>
          <cell r="F22" t="str">
            <v>NOE</v>
          </cell>
          <cell r="G22" t="str">
            <v>Fakultas Rekayasa Industri</v>
          </cell>
          <cell r="H22" t="str">
            <v>totonsiplho@telkomuniversity.ac.id</v>
          </cell>
          <cell r="I22" t="str">
            <v>Noerma Pudji Istyanto, S.Kom., M.Kom.</v>
          </cell>
        </row>
        <row r="23">
          <cell r="A23" t="str">
            <v>Lora Khaula Amifia</v>
          </cell>
          <cell r="B23" t="str">
            <v>Mojokerto</v>
          </cell>
          <cell r="C23">
            <v>33761</v>
          </cell>
          <cell r="D23" t="str">
            <v>Dosen</v>
          </cell>
          <cell r="E23" t="str">
            <v>Sustainable Material, Instrumentation, Energy, and Computation (SMART)</v>
          </cell>
          <cell r="F23" t="str">
            <v>KHL</v>
          </cell>
          <cell r="G23" t="str">
            <v>Fakultas Teknik Elektro</v>
          </cell>
          <cell r="H23" t="str">
            <v>loraamifia@telkomuniversity.ac.id</v>
          </cell>
          <cell r="I23" t="str">
            <v>Lora Khaula Amifia, S.Pd., M.Eng.</v>
          </cell>
        </row>
        <row r="24">
          <cell r="A24" t="str">
            <v>Ully Asfari</v>
          </cell>
          <cell r="B24" t="str">
            <v>Sanggau</v>
          </cell>
          <cell r="C24">
            <v>33210</v>
          </cell>
          <cell r="D24" t="str">
            <v>Kaprodi</v>
          </cell>
          <cell r="E24" t="str">
            <v>Cybernetics</v>
          </cell>
          <cell r="F24" t="str">
            <v>ULF</v>
          </cell>
          <cell r="G24" t="str">
            <v>Fakultas Rekayasa Industri</v>
          </cell>
          <cell r="H24" t="str">
            <v>ullyas@telkomuniversity.ac.id</v>
          </cell>
          <cell r="I24" t="str">
            <v>Ully Asfari, S.Kom., M.Kom.</v>
          </cell>
        </row>
        <row r="25">
          <cell r="A25" t="str">
            <v>Ubaidillah Umar</v>
          </cell>
          <cell r="B25" t="str">
            <v>Bangkalan</v>
          </cell>
          <cell r="C25">
            <v>32260</v>
          </cell>
          <cell r="D25" t="str">
            <v>Dosen</v>
          </cell>
          <cell r="E25" t="str">
            <v>Signal Processing, Information Security, and Computer Engineering (SPICE)</v>
          </cell>
          <cell r="F25" t="str">
            <v>UBM</v>
          </cell>
          <cell r="G25" t="str">
            <v>Fakultas Teknik Elektro</v>
          </cell>
          <cell r="H25" t="str">
            <v>ubaidillahumar@telkomuniversity.ac.id</v>
          </cell>
          <cell r="I25" t="str">
            <v>Ubaidillah Umar, S.ST., M.T.</v>
          </cell>
        </row>
        <row r="26">
          <cell r="A26" t="str">
            <v>Oktavia Ayu Permata</v>
          </cell>
          <cell r="B26" t="str">
            <v>Kediri</v>
          </cell>
          <cell r="C26">
            <v>33151</v>
          </cell>
          <cell r="D26" t="str">
            <v>Dosen</v>
          </cell>
          <cell r="E26" t="str">
            <v>Communication and Information Technology Infrastructure (CITI)</v>
          </cell>
          <cell r="F26" t="str">
            <v>OAP</v>
          </cell>
          <cell r="G26" t="str">
            <v>Fakultas Informatika</v>
          </cell>
          <cell r="H26" t="str">
            <v>oktapermata@telkomuniversity.ac.id</v>
          </cell>
          <cell r="I26" t="str">
            <v>Oktavia Ayu Permata, S.T., M.T.</v>
          </cell>
        </row>
        <row r="27">
          <cell r="A27" t="str">
            <v>Dominggo Bayu Baskara</v>
          </cell>
          <cell r="B27" t="str">
            <v>Denpasar</v>
          </cell>
          <cell r="C27">
            <v>33046</v>
          </cell>
          <cell r="D27" t="str">
            <v>Dosen</v>
          </cell>
          <cell r="E27" t="str">
            <v>Strategy, Human, Entrepreneurship &amp; Economy (SHEE)</v>
          </cell>
          <cell r="F27" t="str">
            <v>DBB</v>
          </cell>
          <cell r="G27" t="str">
            <v>Fakultas Ekonomi dan Bisnis</v>
          </cell>
          <cell r="H27" t="str">
            <v>dominggobayu@telkomuniversity.ac.id</v>
          </cell>
          <cell r="I27" t="str">
            <v>Dominggo Bayu Baskara, S.T., M.MT.</v>
          </cell>
        </row>
        <row r="28">
          <cell r="A28" t="str">
            <v>Billy Montolalu</v>
          </cell>
          <cell r="B28" t="str">
            <v>Lumajang</v>
          </cell>
          <cell r="C28">
            <v>32017</v>
          </cell>
          <cell r="D28" t="str">
            <v>Dosen</v>
          </cell>
          <cell r="E28" t="str">
            <v>Software Engineering and Algorithm (SEAL)</v>
          </cell>
          <cell r="F28" t="str">
            <v>BLM</v>
          </cell>
          <cell r="G28" t="str">
            <v>Fakultas Informatika</v>
          </cell>
          <cell r="H28" t="str">
            <v>billymontolalu@telkomuniversity.ac.id</v>
          </cell>
          <cell r="I28" t="str">
            <v>Billy Montolalu, S.Kom., M.Kom.</v>
          </cell>
        </row>
        <row r="29">
          <cell r="A29" t="str">
            <v>Yupit Sudianto</v>
          </cell>
          <cell r="B29" t="str">
            <v>Surabaya</v>
          </cell>
          <cell r="C29">
            <v>31645</v>
          </cell>
          <cell r="D29" t="str">
            <v>Dosen</v>
          </cell>
          <cell r="E29" t="str">
            <v>Enterprise and Industrial System (EINS)</v>
          </cell>
          <cell r="F29" t="str">
            <v>YPT</v>
          </cell>
          <cell r="G29" t="str">
            <v>Fakultas Rekayasa Industri</v>
          </cell>
          <cell r="H29" t="str">
            <v>yufidu@telkomuniversity.ac.id</v>
          </cell>
          <cell r="I29" t="str">
            <v>Yupit Sudianto, S.Kom., M.Kom.</v>
          </cell>
        </row>
        <row r="30">
          <cell r="A30" t="str">
            <v>Dewi Rahmawati</v>
          </cell>
          <cell r="B30" t="str">
            <v>Malang</v>
          </cell>
          <cell r="C30">
            <v>34402</v>
          </cell>
          <cell r="D30" t="str">
            <v>Dosen</v>
          </cell>
          <cell r="E30" t="str">
            <v>Data Science and Intelligent Systems (DSIS)</v>
          </cell>
          <cell r="F30" t="str">
            <v>DWX</v>
          </cell>
          <cell r="G30" t="str">
            <v>Fakultas Informatika</v>
          </cell>
          <cell r="H30" t="str">
            <v>dewirahmawati@telkomuniversity.ac.id</v>
          </cell>
          <cell r="I30" t="str">
            <v>Dr. Dewi Rahmawati, S.Kom., M.Kom.</v>
          </cell>
        </row>
        <row r="31">
          <cell r="A31" t="str">
            <v>Ardiansyah Al Farouq</v>
          </cell>
          <cell r="B31" t="str">
            <v>Surabaya</v>
          </cell>
          <cell r="C31">
            <v>34014</v>
          </cell>
          <cell r="D31" t="str">
            <v>Dosen</v>
          </cell>
          <cell r="E31" t="str">
            <v>Control, Elektronics, and Intelligent Systems (CEIS)</v>
          </cell>
          <cell r="F31" t="str">
            <v>ADQ</v>
          </cell>
          <cell r="G31" t="str">
            <v>Fakultas Teknik Elektro</v>
          </cell>
          <cell r="H31" t="str">
            <v>farouq@telkomuniversity.ac.id</v>
          </cell>
          <cell r="I31" t="str">
            <v>Ardiansyah Al Farouq, S.ST., M.T.</v>
          </cell>
        </row>
        <row r="32">
          <cell r="A32" t="str">
            <v>Ardian Yusuf Wicaksono</v>
          </cell>
          <cell r="B32" t="str">
            <v>Nganjuk</v>
          </cell>
          <cell r="C32">
            <v>33874</v>
          </cell>
          <cell r="D32" t="str">
            <v>Kabag</v>
          </cell>
          <cell r="E32" t="str">
            <v>Data Science and Intelligent Systems (DSIS)</v>
          </cell>
          <cell r="F32" t="str">
            <v>CAK</v>
          </cell>
          <cell r="G32" t="str">
            <v>Fakultas Informatika</v>
          </cell>
          <cell r="H32" t="str">
            <v>ardianyw@telkomuniversity.ac.id</v>
          </cell>
          <cell r="I32" t="str">
            <v>Ardian Yusuf Wicaksono, S.Kom., M.Kom.</v>
          </cell>
        </row>
        <row r="33">
          <cell r="A33" t="str">
            <v>Rahaditya Dimas Prihadianto</v>
          </cell>
          <cell r="B33" t="str">
            <v>Jember</v>
          </cell>
          <cell r="C33">
            <v>33749</v>
          </cell>
          <cell r="D33" t="str">
            <v>COE</v>
          </cell>
          <cell r="E33" t="str">
            <v>Enterprise and Industrial System (EINS)</v>
          </cell>
          <cell r="F33" t="str">
            <v>RDV</v>
          </cell>
          <cell r="G33" t="str">
            <v>Fakultas Rekayasa Industri</v>
          </cell>
          <cell r="H33" t="str">
            <v>rdprihadian@telkomuniversity.ac.id</v>
          </cell>
          <cell r="I33" t="str">
            <v>Rahaditya Dimas Prihadianto, S.T., M.T.</v>
          </cell>
        </row>
        <row r="34">
          <cell r="A34" t="str">
            <v>Rizqa Amelia Zunaidi</v>
          </cell>
          <cell r="B34" t="str">
            <v>Bojonegoro</v>
          </cell>
          <cell r="C34">
            <v>34131</v>
          </cell>
          <cell r="D34" t="str">
            <v>Dosen</v>
          </cell>
          <cell r="E34" t="str">
            <v>Engineering Management System</v>
          </cell>
          <cell r="F34" t="str">
            <v>ZQA</v>
          </cell>
          <cell r="G34" t="str">
            <v>Fakultas Rekayasa Industri</v>
          </cell>
          <cell r="H34" t="str">
            <v>rizqazunaidi@telkomuniversity.ac.id</v>
          </cell>
          <cell r="I34" t="str">
            <v>Rizqa Amelia Zunaidi, S.T., M.T.</v>
          </cell>
        </row>
        <row r="35">
          <cell r="A35" t="str">
            <v>Titus Kristanto</v>
          </cell>
          <cell r="B35" t="str">
            <v>Surabaya</v>
          </cell>
          <cell r="C35">
            <v>31453</v>
          </cell>
          <cell r="D35" t="str">
            <v>Dosen</v>
          </cell>
          <cell r="E35" t="str">
            <v>ICT Business Management (IBM)</v>
          </cell>
          <cell r="F35" t="str">
            <v>TTK</v>
          </cell>
          <cell r="G35" t="str">
            <v>Fakultas Ekonomi dan Bisnis</v>
          </cell>
          <cell r="H35" t="str">
            <v>tituskristanto@telkomuniversity.ac.id</v>
          </cell>
          <cell r="I35" t="str">
            <v>Titus Kristanto, S.Kom., M.Kom.</v>
          </cell>
        </row>
        <row r="36">
          <cell r="A36" t="str">
            <v>Pangestu Widodo</v>
          </cell>
          <cell r="B36" t="str">
            <v>Malang</v>
          </cell>
          <cell r="C36">
            <v>30457</v>
          </cell>
          <cell r="D36" t="str">
            <v>Dosen</v>
          </cell>
          <cell r="E36" t="str">
            <v>Signal Processing, Information Security, and Computer Engineering (SPICE)</v>
          </cell>
          <cell r="F36" t="str">
            <v>PNG</v>
          </cell>
          <cell r="G36" t="str">
            <v>Fakultas Teknik Elektro</v>
          </cell>
          <cell r="H36" t="str">
            <v>pangestuw@telkomuniversity.ac.id</v>
          </cell>
          <cell r="I36" t="str">
            <v>Pangestu Widodo, S.T., M.Kom.</v>
          </cell>
        </row>
        <row r="37">
          <cell r="A37" t="str">
            <v>Abduh Sayid Albana</v>
          </cell>
          <cell r="B37" t="str">
            <v>Pekalongan</v>
          </cell>
          <cell r="C37">
            <v>32934</v>
          </cell>
          <cell r="D37" t="str">
            <v>Ketua KK</v>
          </cell>
          <cell r="E37" t="str">
            <v>Enterprise and Industrial System (EINS)</v>
          </cell>
          <cell r="F37" t="str">
            <v>EXE</v>
          </cell>
          <cell r="G37" t="str">
            <v>Fakultas Rekayasa Industri</v>
          </cell>
          <cell r="H37" t="str">
            <v>abduhalbana@telkomuniversity.ac.id</v>
          </cell>
          <cell r="I37" t="str">
            <v>Abduh Sayid Albana, S.T., M.T., M.Sc., Ph.D.</v>
          </cell>
        </row>
        <row r="38">
          <cell r="A38" t="str">
            <v>Hawwin Mardhiana</v>
          </cell>
          <cell r="B38" t="str">
            <v>Magetan</v>
          </cell>
          <cell r="C38">
            <v>33840</v>
          </cell>
          <cell r="D38" t="str">
            <v>Dosen</v>
          </cell>
          <cell r="E38" t="str">
            <v>Enterprise and Industrial System (EINS)</v>
          </cell>
          <cell r="F38" t="str">
            <v>MAE</v>
          </cell>
          <cell r="G38" t="str">
            <v>Fakultas Rekayasa Industri</v>
          </cell>
          <cell r="H38" t="str">
            <v>hawwinmardhiana@telkomuniversity.ac.id</v>
          </cell>
          <cell r="I38" t="str">
            <v>Hawwin Mardhiana, S.Kom., M.Kom.</v>
          </cell>
        </row>
        <row r="39">
          <cell r="A39" t="str">
            <v>Benazir Imam Arif Muttaqin</v>
          </cell>
          <cell r="B39" t="str">
            <v>Sukoharjo</v>
          </cell>
          <cell r="C39">
            <v>34276</v>
          </cell>
          <cell r="D39" t="str">
            <v>Dosen</v>
          </cell>
          <cell r="E39" t="str">
            <v>Production and Manufacturing System</v>
          </cell>
          <cell r="F39" t="str">
            <v>BIA</v>
          </cell>
          <cell r="G39" t="str">
            <v>Fakultas Rekayasa Industri</v>
          </cell>
          <cell r="H39" t="str">
            <v>imambenazir@telkomuniversity.ac.id</v>
          </cell>
          <cell r="I39" t="str">
            <v>Benazir Imam Arif Muttaqin, S.T., M.T.</v>
          </cell>
        </row>
        <row r="40">
          <cell r="A40" t="str">
            <v>Bernadus Anggo Seno Aji</v>
          </cell>
          <cell r="B40" t="str">
            <v>Grobogan</v>
          </cell>
          <cell r="C40">
            <v>33697</v>
          </cell>
          <cell r="D40" t="str">
            <v>Kaprodi</v>
          </cell>
          <cell r="E40" t="str">
            <v>Data Science and Intelligent Systems (DSIS)</v>
          </cell>
          <cell r="F40" t="str">
            <v>BOS</v>
          </cell>
          <cell r="G40" t="str">
            <v>Fakultas Informatika</v>
          </cell>
          <cell r="H40" t="str">
            <v>bernadusanggosenoaji@telkomuniversity.ac.id</v>
          </cell>
          <cell r="I40" t="str">
            <v>Bernadus Anggo Seno Aji, S.Kom., M.Kom.</v>
          </cell>
        </row>
        <row r="41">
          <cell r="A41" t="str">
            <v>Rokhmatul Insani</v>
          </cell>
          <cell r="B41" t="str">
            <v>Mojokerto</v>
          </cell>
          <cell r="C41">
            <v>32663</v>
          </cell>
          <cell r="D41" t="str">
            <v>Dosen</v>
          </cell>
          <cell r="E41" t="str">
            <v>Cybernetics</v>
          </cell>
          <cell r="F41" t="str">
            <v>RTL</v>
          </cell>
          <cell r="G41" t="str">
            <v>Fakultas Rekayasa Industri</v>
          </cell>
          <cell r="H41" t="str">
            <v>rokhmatul@telkomuniversity.ac.id</v>
          </cell>
          <cell r="I41" t="str">
            <v>Rokhmatul Insani, S.T., M.T.</v>
          </cell>
        </row>
        <row r="42">
          <cell r="A42" t="str">
            <v>Agus Sulistya</v>
          </cell>
          <cell r="B42" t="str">
            <v>Magelang</v>
          </cell>
          <cell r="C42">
            <v>27624</v>
          </cell>
          <cell r="D42" t="str">
            <v>Wakil Direktur Bidang Sumber Daya</v>
          </cell>
          <cell r="E42" t="str">
            <v>Cybernetics</v>
          </cell>
          <cell r="F42" t="str">
            <v>AGX</v>
          </cell>
          <cell r="G42" t="str">
            <v>Fakultas Rekayasa Industri</v>
          </cell>
          <cell r="H42" t="str">
            <v>sulistya@telkomuniversity.ac.id</v>
          </cell>
          <cell r="I42" t="str">
            <v>Agus Sulistya, S.T., M.Sc., Ph.D</v>
          </cell>
        </row>
        <row r="43">
          <cell r="A43" t="str">
            <v>Risdilah Mimma Untsa</v>
          </cell>
          <cell r="B43" t="str">
            <v>Surabaya</v>
          </cell>
          <cell r="C43">
            <v>33258</v>
          </cell>
          <cell r="D43" t="str">
            <v>Dosen</v>
          </cell>
          <cell r="E43" t="str">
            <v>Signal Processing, Information Security, and Computer Engineering (SPICE)</v>
          </cell>
          <cell r="F43" t="str">
            <v>RLL</v>
          </cell>
          <cell r="G43" t="str">
            <v>Fakultas Teknik Elektro</v>
          </cell>
          <cell r="H43" t="str">
            <v>risdilah@telkomuniversity.ac.id</v>
          </cell>
          <cell r="I43" t="str">
            <v>Risdilah Mimma Untsa, S.ST., M.T.</v>
          </cell>
        </row>
        <row r="44">
          <cell r="A44" t="str">
            <v>Susijanto Tri Rasmana</v>
          </cell>
          <cell r="B44" t="str">
            <v>Surabaya</v>
          </cell>
          <cell r="C44">
            <v>26934</v>
          </cell>
          <cell r="D44" t="str">
            <v>Kabag</v>
          </cell>
          <cell r="E44" t="str">
            <v>Control, Elektronics, and Intelligent Systems (CEIS)</v>
          </cell>
          <cell r="F44" t="str">
            <v>SUZ</v>
          </cell>
          <cell r="G44" t="str">
            <v>Fakultas Teknik Elektro</v>
          </cell>
          <cell r="H44" t="str">
            <v>susijanto@telkomuniversity.ac.id</v>
          </cell>
          <cell r="I44" t="str">
            <v>Dr. Susijanto Tri Rasmana, S.Kom., M.T.</v>
          </cell>
        </row>
        <row r="45">
          <cell r="A45" t="str">
            <v>Ayu Endah Wahyuni</v>
          </cell>
          <cell r="B45" t="str">
            <v>Denpasar</v>
          </cell>
          <cell r="C45">
            <v>32325</v>
          </cell>
          <cell r="D45" t="str">
            <v>Kaprodi</v>
          </cell>
          <cell r="E45" t="str">
            <v>Engineering Management System</v>
          </cell>
          <cell r="F45" t="str">
            <v>AYV</v>
          </cell>
          <cell r="G45" t="str">
            <v>Fakultas Rekayasa Industri</v>
          </cell>
          <cell r="H45" t="str">
            <v>ayuendah@telkomuniversity.ac.id</v>
          </cell>
          <cell r="I45" t="str">
            <v>Ayu Endah Wahyuni, S.T., M.T.</v>
          </cell>
        </row>
        <row r="46">
          <cell r="A46" t="str">
            <v>Muhamad Nasrullah</v>
          </cell>
          <cell r="B46" t="str">
            <v>Sidoarjo</v>
          </cell>
          <cell r="C46">
            <v>33002</v>
          </cell>
          <cell r="D46" t="str">
            <v>Kabag</v>
          </cell>
          <cell r="E46" t="str">
            <v>Enterprise and Industrial System (EINS)</v>
          </cell>
          <cell r="F46" t="str">
            <v>RLH</v>
          </cell>
          <cell r="G46" t="str">
            <v>Fakultas Rekayasa Industri</v>
          </cell>
          <cell r="H46" t="str">
            <v>emnasrul@telkomuniversity.ac.id</v>
          </cell>
          <cell r="I46" t="str">
            <v>Muhamad Nasrullah, S.Kom., M.Kom.</v>
          </cell>
        </row>
        <row r="47">
          <cell r="A47" t="str">
            <v>Sekar Widyasari Putri</v>
          </cell>
          <cell r="B47" t="str">
            <v>Semarang</v>
          </cell>
          <cell r="C47">
            <v>34061</v>
          </cell>
          <cell r="D47" t="str">
            <v>Kepala Urusan</v>
          </cell>
          <cell r="E47" t="str">
            <v>Strategy, Human, Entrepreneurship &amp; Economy (SHEE)</v>
          </cell>
          <cell r="F47" t="str">
            <v>SSQ</v>
          </cell>
          <cell r="G47" t="str">
            <v>Fakultas Ekonomi dan Bisnis</v>
          </cell>
          <cell r="H47" t="str">
            <v>sekarwidyasariputri@telkomuniversity.ac.id</v>
          </cell>
          <cell r="I47" t="str">
            <v>Sekar Widyasari Putri, S.A.B., M.Si.</v>
          </cell>
        </row>
        <row r="48">
          <cell r="A48" t="str">
            <v>Riza Akhsani Setyo Prayoga</v>
          </cell>
          <cell r="B48" t="str">
            <v>Ponorogo</v>
          </cell>
          <cell r="C48">
            <v>34454</v>
          </cell>
          <cell r="D48" t="str">
            <v>Dosen</v>
          </cell>
          <cell r="E48" t="str">
            <v>ICT Business Management (IBM)</v>
          </cell>
          <cell r="F48" t="str">
            <v>OGA</v>
          </cell>
          <cell r="G48" t="str">
            <v>Fakultas Ekonomi dan Bisnis</v>
          </cell>
          <cell r="H48" t="str">
            <v>rizayoga@telkomuniversity.ac.id</v>
          </cell>
          <cell r="I48" t="str">
            <v>Riza Akhsani Setyo Prayoga, S.Kom., M.MT.</v>
          </cell>
        </row>
        <row r="49">
          <cell r="A49" t="str">
            <v>Ahmad Wali Satria Bahari Johan</v>
          </cell>
          <cell r="B49" t="str">
            <v>Bojonegoro</v>
          </cell>
          <cell r="C49">
            <v>34832</v>
          </cell>
          <cell r="D49" t="str">
            <v>Kepala Urusan</v>
          </cell>
          <cell r="E49" t="str">
            <v>Data Science and Intelligent Systems (DSIS)</v>
          </cell>
          <cell r="F49" t="str">
            <v>AWQ</v>
          </cell>
          <cell r="G49" t="str">
            <v>Fakultas Informatika</v>
          </cell>
          <cell r="H49" t="str">
            <v>ahmadsatria@telkomuniversity.ac.id</v>
          </cell>
          <cell r="I49" t="str">
            <v>Ahmad Wali Satria Bahari Johan, S.ST., M.Kom.</v>
          </cell>
        </row>
        <row r="50">
          <cell r="A50" t="str">
            <v>Muhammad Dzulfikar Fauzi</v>
          </cell>
          <cell r="B50" t="str">
            <v>Jombang</v>
          </cell>
          <cell r="C50">
            <v>34641</v>
          </cell>
          <cell r="D50" t="str">
            <v>Kaprodi</v>
          </cell>
          <cell r="E50" t="str">
            <v>Data Science and Intelligent Systems (DSIS)</v>
          </cell>
          <cell r="F50" t="str">
            <v>MDX</v>
          </cell>
          <cell r="G50" t="str">
            <v>Fakultas Informatika</v>
          </cell>
          <cell r="H50" t="str">
            <v>dzulfikarf@telkomuniversity.ac.id</v>
          </cell>
          <cell r="I50" t="str">
            <v>Muhammad Dzulfikar Fauzi, S.Kom., M.Cs.</v>
          </cell>
        </row>
        <row r="51">
          <cell r="A51" t="str">
            <v>Kharisma Monika Dian Pertiwi</v>
          </cell>
          <cell r="B51" t="str">
            <v>Madiun</v>
          </cell>
          <cell r="C51">
            <v>34858</v>
          </cell>
          <cell r="D51" t="str">
            <v>Dosen</v>
          </cell>
          <cell r="E51" t="str">
            <v>Communication and Information Technology Infrastructure (CITI)</v>
          </cell>
          <cell r="F51" t="str">
            <v>KMP</v>
          </cell>
          <cell r="G51" t="str">
            <v>Fakultas Informatika</v>
          </cell>
          <cell r="H51" t="str">
            <v>kharismamonikadp@telkomuniversity.ac.id</v>
          </cell>
          <cell r="I51" t="str">
            <v>Kharisma Monika Dian Pertiwi, S.Kom., M.Kom.</v>
          </cell>
        </row>
        <row r="52">
          <cell r="A52" t="str">
            <v>Rizky Fenaldo Maulana</v>
          </cell>
          <cell r="B52" t="str">
            <v>Denpasar</v>
          </cell>
          <cell r="C52">
            <v>35625</v>
          </cell>
          <cell r="D52" t="str">
            <v>Kabag</v>
          </cell>
          <cell r="E52" t="str">
            <v>Communication and Information Technology Infrastructure (CITI)</v>
          </cell>
          <cell r="F52" t="str">
            <v>RZO</v>
          </cell>
          <cell r="G52" t="str">
            <v>Fakultas Informatika</v>
          </cell>
          <cell r="H52" t="str">
            <v>rizkyfenaldo@telkomuniversity.ac.id</v>
          </cell>
          <cell r="I52" t="str">
            <v>Rizky Fenaldo Maulana, S.Kom., M.Kom.</v>
          </cell>
        </row>
        <row r="53">
          <cell r="A53" t="str">
            <v>Amalia Nur Alifah</v>
          </cell>
          <cell r="B53" t="str">
            <v>Kudus</v>
          </cell>
          <cell r="C53">
            <v>34697</v>
          </cell>
          <cell r="D53" t="str">
            <v>Dosen</v>
          </cell>
          <cell r="E53" t="str">
            <v>Data Science and Intelligent Systems (DSIS)</v>
          </cell>
          <cell r="F53" t="str">
            <v>MAC</v>
          </cell>
          <cell r="G53" t="str">
            <v>Fakultas Informatika</v>
          </cell>
          <cell r="H53" t="str">
            <v>amalialifah@telkomuniversity.ac.id</v>
          </cell>
          <cell r="I53" t="str">
            <v>Amalia Nur Alifah, S.Si., M.Si.</v>
          </cell>
        </row>
        <row r="54">
          <cell r="A54" t="str">
            <v>Helisyah Nur Fadhilah</v>
          </cell>
          <cell r="B54" t="str">
            <v>Gresik</v>
          </cell>
          <cell r="C54">
            <v>34881</v>
          </cell>
          <cell r="D54" t="str">
            <v>Dosen</v>
          </cell>
          <cell r="E54" t="str">
            <v>Data Science and Intelligent Systems (DSIS)</v>
          </cell>
          <cell r="F54" t="str">
            <v>HEF</v>
          </cell>
          <cell r="G54" t="str">
            <v>Fakultas Informatika</v>
          </cell>
          <cell r="H54" t="str">
            <v>helisyahnf@telkomuniversity.ac.id</v>
          </cell>
          <cell r="I54" t="str">
            <v>Dr. Helisyah Nur Fadhilah, S.Si., M.Mat.</v>
          </cell>
        </row>
        <row r="55">
          <cell r="A55" t="str">
            <v>Moh. Hamim Zajuli Al Faroby</v>
          </cell>
          <cell r="B55" t="str">
            <v>Banyuwangi</v>
          </cell>
          <cell r="C55">
            <v>34904</v>
          </cell>
          <cell r="D55" t="str">
            <v>Kaprodi</v>
          </cell>
          <cell r="E55" t="str">
            <v>Data Science and Intelligent Systems (DSIS)</v>
          </cell>
          <cell r="F55" t="str">
            <v>OBY</v>
          </cell>
          <cell r="G55" t="str">
            <v>Fakultas Informatika</v>
          </cell>
          <cell r="H55" t="str">
            <v>alfarobymhz@telkomuniversity.ac.id</v>
          </cell>
          <cell r="I55" t="str">
            <v>Moh. Hamim Zajuli Al Faroby, S.Si., M.Mat.</v>
          </cell>
        </row>
        <row r="56">
          <cell r="A56" t="str">
            <v>Ahmad Faisal Dahlan</v>
          </cell>
          <cell r="B56" t="str">
            <v>Malang</v>
          </cell>
          <cell r="C56">
            <v>34358</v>
          </cell>
          <cell r="D56" t="str">
            <v>Dosen</v>
          </cell>
          <cell r="E56" t="str">
            <v>-</v>
          </cell>
          <cell r="F56" t="str">
            <v>AFX</v>
          </cell>
          <cell r="G56" t="str">
            <v>Fakultas Rekayasa Industri</v>
          </cell>
          <cell r="I56" t="str">
            <v>Ahmad Faisal Dahlan, S.T., M.Eng.</v>
          </cell>
        </row>
        <row r="57">
          <cell r="A57" t="str">
            <v>Desita Nur Rachmaniar</v>
          </cell>
          <cell r="B57" t="str">
            <v>Bantul</v>
          </cell>
          <cell r="C57">
            <v>34152</v>
          </cell>
          <cell r="D57" t="str">
            <v>Dosen</v>
          </cell>
          <cell r="E57" t="str">
            <v>Enterprise and Industrial System (EINS)</v>
          </cell>
          <cell r="F57" t="str">
            <v>DEZ</v>
          </cell>
          <cell r="G57" t="str">
            <v>Fakultas Rekayasa Industri</v>
          </cell>
          <cell r="H57" t="str">
            <v>desitanurr@telkomuniversity.ac.id</v>
          </cell>
          <cell r="I57" t="str">
            <v>Desita Nur Rachmaniar, S.T., M.Sc.</v>
          </cell>
        </row>
        <row r="58">
          <cell r="A58" t="str">
            <v>Granita Hajar</v>
          </cell>
          <cell r="B58" t="str">
            <v>Surabaya</v>
          </cell>
          <cell r="C58">
            <v>34903</v>
          </cell>
          <cell r="D58" t="str">
            <v>Dosen</v>
          </cell>
          <cell r="E58" t="str">
            <v>Enterprise and Industrial System (EINS)</v>
          </cell>
          <cell r="F58" t="str">
            <v>GRN</v>
          </cell>
          <cell r="G58" t="str">
            <v>Fakultas Rekayasa Industri</v>
          </cell>
          <cell r="H58" t="str">
            <v>granita@telkomuniversity.ac.id</v>
          </cell>
          <cell r="I58" t="str">
            <v>Granita Hajar, S.T., M.T.</v>
          </cell>
        </row>
        <row r="59">
          <cell r="A59" t="str">
            <v>Nisa Isrofi</v>
          </cell>
          <cell r="B59" t="str">
            <v>Kediri</v>
          </cell>
          <cell r="C59">
            <v>34308</v>
          </cell>
          <cell r="D59" t="str">
            <v>Kaprodi</v>
          </cell>
          <cell r="E59" t="str">
            <v>Enterprise and Industrial System (EINS)</v>
          </cell>
          <cell r="F59" t="str">
            <v>NSX</v>
          </cell>
          <cell r="G59" t="str">
            <v>Fakultas Rekayasa Industri</v>
          </cell>
          <cell r="H59" t="str">
            <v>nisaisrofi@telkomuniversity.ac.id</v>
          </cell>
          <cell r="I59" t="str">
            <v>Nisa Isrofi, S.T., M.T.</v>
          </cell>
        </row>
        <row r="60">
          <cell r="A60" t="str">
            <v>Fannush Shofi Akbar</v>
          </cell>
          <cell r="B60" t="str">
            <v>Surabaya</v>
          </cell>
          <cell r="C60">
            <v>33564</v>
          </cell>
          <cell r="D60" t="str">
            <v>Kaprodi</v>
          </cell>
          <cell r="E60" t="str">
            <v>Intelligent Communications and Networks (ICON)</v>
          </cell>
          <cell r="F60" t="str">
            <v>FSX</v>
          </cell>
          <cell r="G60" t="str">
            <v>Fakultas Teknik Elektro</v>
          </cell>
          <cell r="H60" t="str">
            <v>fannushakbar@telkomuniversity.ac.id</v>
          </cell>
          <cell r="I60" t="str">
            <v>Dr. Fannush Shofi Akbar, S.ST.</v>
          </cell>
        </row>
        <row r="61">
          <cell r="A61" t="str">
            <v>Aulia Rahma Annisa</v>
          </cell>
          <cell r="B61" t="str">
            <v>Surabaya</v>
          </cell>
          <cell r="C61">
            <v>33392</v>
          </cell>
          <cell r="D61" t="str">
            <v>Dosen</v>
          </cell>
          <cell r="E61" t="str">
            <v>Control, Elektronics, and Intelligent Systems (CEIS)</v>
          </cell>
          <cell r="F61" t="str">
            <v>AUV</v>
          </cell>
          <cell r="G61" t="str">
            <v>Fakultas Teknik Elektro</v>
          </cell>
          <cell r="H61" t="str">
            <v>auliannisa@telkomuniversity.ac.id</v>
          </cell>
          <cell r="I61" t="str">
            <v>Aulia Rahma Annisa, S.ST., M.T.</v>
          </cell>
        </row>
        <row r="62">
          <cell r="A62" t="str">
            <v>Aris Kusumawati</v>
          </cell>
          <cell r="B62" t="str">
            <v>Lamongan</v>
          </cell>
          <cell r="C62">
            <v>32740</v>
          </cell>
          <cell r="D62" t="str">
            <v>Dosen</v>
          </cell>
          <cell r="E62" t="str">
            <v>Enterprise and Industrial System (EINS)</v>
          </cell>
          <cell r="F62" t="str">
            <v>KUZ</v>
          </cell>
          <cell r="G62" t="str">
            <v>Fakultas Rekayasa Industri</v>
          </cell>
          <cell r="H62" t="str">
            <v>ariskusumawati@telkomuniversity.ac.id</v>
          </cell>
          <cell r="I62" t="str">
            <v>Aris Kusumawati, S.Kom., M.Kom.</v>
          </cell>
        </row>
        <row r="63">
          <cell r="A63" t="str">
            <v>Mochamad Nizar Palefi Ma'ady</v>
          </cell>
          <cell r="B63" t="str">
            <v>Bojonegoro</v>
          </cell>
          <cell r="C63">
            <v>33550</v>
          </cell>
          <cell r="D63" t="str">
            <v>Sekprodi</v>
          </cell>
          <cell r="E63" t="str">
            <v>Cybernetics</v>
          </cell>
          <cell r="F63" t="str">
            <v>NZR</v>
          </cell>
          <cell r="G63" t="str">
            <v>Fakultas Rekayasa Industri</v>
          </cell>
          <cell r="H63" t="str">
            <v>mnizarpm@telkomuniversity.ac.id</v>
          </cell>
          <cell r="I63" t="str">
            <v>Mochamad Nizar Palefi Ma'ady, S.Kom., M.Kom., M.IM.</v>
          </cell>
        </row>
        <row r="64">
          <cell r="A64" t="str">
            <v>Purnama Anaking</v>
          </cell>
          <cell r="B64" t="str">
            <v>Jakarta</v>
          </cell>
          <cell r="C64">
            <v>32044</v>
          </cell>
          <cell r="D64" t="str">
            <v>Dosen</v>
          </cell>
          <cell r="E64" t="str">
            <v>Cybernetics</v>
          </cell>
          <cell r="F64" t="str">
            <v>PAK</v>
          </cell>
          <cell r="G64" t="str">
            <v>Fakultas Rekayasa Industri</v>
          </cell>
          <cell r="H64" t="str">
            <v>purnamaanaking@telkomuniversity.ac.id</v>
          </cell>
          <cell r="I64" t="str">
            <v>Purnama Anaking, S.Kom., M.Kom.</v>
          </cell>
        </row>
        <row r="65">
          <cell r="A65" t="str">
            <v>Arrizky Ayu Faradila Purnama</v>
          </cell>
          <cell r="B65" t="str">
            <v>Trenggalek</v>
          </cell>
          <cell r="C65">
            <v>35109</v>
          </cell>
          <cell r="D65" t="str">
            <v>Dosen</v>
          </cell>
          <cell r="E65" t="str">
            <v>Intelligent Communications and Networks (ICON)</v>
          </cell>
          <cell r="F65" t="str">
            <v>KYA</v>
          </cell>
          <cell r="G65" t="str">
            <v>Fakultas Teknik Elektro</v>
          </cell>
          <cell r="H65" t="str">
            <v>kyafara@telkomuniversity.ac.id</v>
          </cell>
          <cell r="I65" t="str">
            <v>Arrizky Ayu Faradila Purnama, S.T., M.T.</v>
          </cell>
        </row>
        <row r="66">
          <cell r="A66" t="str">
            <v>Regita Putri Permata</v>
          </cell>
          <cell r="B66" t="str">
            <v>Tuban</v>
          </cell>
          <cell r="C66">
            <v>35338</v>
          </cell>
          <cell r="D66" t="str">
            <v>Dosen</v>
          </cell>
          <cell r="E66" t="str">
            <v>Data Science and Intelligent Systems (DSIS)</v>
          </cell>
          <cell r="F66" t="str">
            <v>GIT</v>
          </cell>
          <cell r="G66" t="str">
            <v>Fakultas Informatika</v>
          </cell>
          <cell r="H66" t="str">
            <v>regitapermata@telkomuniversity.ac.id</v>
          </cell>
          <cell r="I66" t="str">
            <v>Regita Putri Permata, S.Stat., M.Stat.</v>
          </cell>
        </row>
        <row r="67">
          <cell r="A67" t="str">
            <v>Rifdatun Ni'mah</v>
          </cell>
          <cell r="B67" t="str">
            <v>Gresik</v>
          </cell>
          <cell r="C67">
            <v>33038</v>
          </cell>
          <cell r="D67" t="str">
            <v>Dosen</v>
          </cell>
          <cell r="E67" t="str">
            <v>Data Science and Intelligent Systems (DSIS)</v>
          </cell>
          <cell r="F67" t="str">
            <v>NIC</v>
          </cell>
          <cell r="G67" t="str">
            <v>Fakultas Informatika</v>
          </cell>
          <cell r="H67" t="str">
            <v>rifdatun@telkomuniversity.ac.id</v>
          </cell>
          <cell r="I67" t="str">
            <v>Rifdatun Ni'mah, S.Si., M.Si.</v>
          </cell>
        </row>
        <row r="68">
          <cell r="A68" t="str">
            <v>Rifa Atul Izza Asyari</v>
          </cell>
          <cell r="B68" t="str">
            <v>Bunyu</v>
          </cell>
          <cell r="C68">
            <v>33598</v>
          </cell>
          <cell r="D68" t="str">
            <v>Dosen</v>
          </cell>
          <cell r="E68">
            <v>0</v>
          </cell>
          <cell r="F68" t="str">
            <v>RFX</v>
          </cell>
          <cell r="G68" t="str">
            <v>Fakultas Teknik Elektro</v>
          </cell>
          <cell r="I68" t="str">
            <v>Rifa Atul Izza Asyari, S.T., M.Sc.</v>
          </cell>
        </row>
        <row r="69">
          <cell r="A69" t="str">
            <v>Muhammad Adib Kamali</v>
          </cell>
          <cell r="B69" t="str">
            <v>Jember</v>
          </cell>
          <cell r="C69">
            <v>35474</v>
          </cell>
          <cell r="D69" t="str">
            <v>Kepala Urusan</v>
          </cell>
          <cell r="E69" t="str">
            <v>Data Science and Intelligent Systems (DSIS)</v>
          </cell>
          <cell r="F69" t="str">
            <v>MDB</v>
          </cell>
          <cell r="G69" t="str">
            <v>Fakultas Informatika</v>
          </cell>
          <cell r="H69" t="str">
            <v>adibmkamali@telkomuniversity.ac.id</v>
          </cell>
          <cell r="I69" t="str">
            <v>Muhammad Adib Kamali, S.T., M.Eng.</v>
          </cell>
        </row>
        <row r="70">
          <cell r="A70" t="str">
            <v>Raulia Riski</v>
          </cell>
          <cell r="B70" t="str">
            <v>Manggarai</v>
          </cell>
          <cell r="C70">
            <v>34626</v>
          </cell>
          <cell r="D70" t="str">
            <v>Dosen</v>
          </cell>
          <cell r="E70" t="str">
            <v>Enterprise and Industrial System (EINS)</v>
          </cell>
          <cell r="F70" t="str">
            <v>IKI</v>
          </cell>
          <cell r="G70" t="str">
            <v>Fakultas Rekayasa Industri</v>
          </cell>
          <cell r="H70" t="str">
            <v>riskiraulia@telkomuniversity.ac.id</v>
          </cell>
          <cell r="I70" t="str">
            <v>Raulia Riski, S.Kom., M.Kom., M.M.S.</v>
          </cell>
        </row>
        <row r="71">
          <cell r="A71" t="str">
            <v>Sri Hidayati</v>
          </cell>
          <cell r="B71" t="str">
            <v>Banyuwangi</v>
          </cell>
          <cell r="C71">
            <v>34296</v>
          </cell>
          <cell r="D71" t="str">
            <v>Dosen</v>
          </cell>
          <cell r="E71" t="str">
            <v>Cybernetics</v>
          </cell>
          <cell r="F71" t="str">
            <v>SRX</v>
          </cell>
          <cell r="G71" t="str">
            <v>Fakultas Rekayasa Industri</v>
          </cell>
          <cell r="H71" t="str">
            <v>srihidayatisi@telkomuniversity.ac.id</v>
          </cell>
          <cell r="I71" t="str">
            <v>Sri Hidayati, S.Si., M.Stat.</v>
          </cell>
        </row>
        <row r="72">
          <cell r="A72" t="str">
            <v>Fauzan Nusyura</v>
          </cell>
          <cell r="B72" t="str">
            <v>Surabaya</v>
          </cell>
          <cell r="C72">
            <v>33562</v>
          </cell>
          <cell r="D72" t="str">
            <v>Dosen</v>
          </cell>
          <cell r="E72" t="str">
            <v>Data Science and Intelligent Systems (DSIS)</v>
          </cell>
          <cell r="F72" t="str">
            <v>FZS</v>
          </cell>
          <cell r="G72" t="str">
            <v>Fakultas Informatika</v>
          </cell>
          <cell r="I72" t="str">
            <v>Fauzan Nusyura, S.T., M.T.</v>
          </cell>
        </row>
        <row r="73">
          <cell r="A73" t="str">
            <v>Caesareano Lafado Yesa</v>
          </cell>
          <cell r="B73" t="str">
            <v>Jakarta</v>
          </cell>
          <cell r="C73">
            <v>32850</v>
          </cell>
          <cell r="D73" t="str">
            <v>Kaprodi</v>
          </cell>
          <cell r="E73" t="str">
            <v>ICT Business Management (IBM)</v>
          </cell>
          <cell r="F73" t="str">
            <v>CNO</v>
          </cell>
          <cell r="G73" t="str">
            <v>Fakultas Ekonomi dan Bisnis</v>
          </cell>
          <cell r="H73" t="str">
            <v>anofado@telkomuniversity.ac.id</v>
          </cell>
          <cell r="I73" t="str">
            <v>Caesareano Lafado Yesa, S.M.B., M.M.</v>
          </cell>
        </row>
        <row r="74">
          <cell r="A74" t="str">
            <v>Achmad Muzakki</v>
          </cell>
          <cell r="B74" t="str">
            <v>Surabaya</v>
          </cell>
          <cell r="C74">
            <v>31195</v>
          </cell>
          <cell r="D74" t="str">
            <v>Dosen</v>
          </cell>
          <cell r="E74" t="str">
            <v>Software Engineering and Algorithm (SEAL)</v>
          </cell>
          <cell r="F74" t="str">
            <v>ZAC</v>
          </cell>
          <cell r="G74" t="str">
            <v>Fakultas Informatika</v>
          </cell>
          <cell r="H74" t="str">
            <v>achmadmuzakki@telkomuniversity.ac.id</v>
          </cell>
          <cell r="I74" t="str">
            <v>Achmad Muzakki, S.Kom., M.Kom.</v>
          </cell>
        </row>
        <row r="75">
          <cell r="A75" t="str">
            <v>Silvi Istiqomah</v>
          </cell>
          <cell r="B75" t="str">
            <v>Sidoarjo</v>
          </cell>
          <cell r="C75">
            <v>35392</v>
          </cell>
          <cell r="D75" t="str">
            <v>Dosen</v>
          </cell>
          <cell r="E75" t="str">
            <v>Enterprise and Industrial System (EINS)</v>
          </cell>
          <cell r="F75" t="str">
            <v>CEO</v>
          </cell>
          <cell r="G75" t="str">
            <v>Fakultas Rekayasa Industri</v>
          </cell>
          <cell r="H75" t="str">
            <v>silviistiqomah@telkomuniversity.ac.id</v>
          </cell>
          <cell r="I75" t="str">
            <v>Silvi Istiqomah, S.T., M.T.</v>
          </cell>
        </row>
        <row r="76">
          <cell r="A76" t="str">
            <v>Darlin Aulia</v>
          </cell>
          <cell r="B76" t="str">
            <v>Jember</v>
          </cell>
          <cell r="C76">
            <v>33764</v>
          </cell>
          <cell r="D76" t="str">
            <v>Dosen</v>
          </cell>
          <cell r="E76" t="str">
            <v>Finance and Accounting Studies (FAS)</v>
          </cell>
          <cell r="F76" t="str">
            <v>DAQ</v>
          </cell>
          <cell r="G76" t="str">
            <v>Fakultas Ekonomi dan Bisnis</v>
          </cell>
          <cell r="H76" t="str">
            <v>darlinaulia@telkomuniversity.ac.id</v>
          </cell>
          <cell r="I76" t="str">
            <v>Darlin Aulia, S. E., M.S.Ak.</v>
          </cell>
        </row>
        <row r="77">
          <cell r="A77" t="str">
            <v>Perdana Suteja Putra</v>
          </cell>
          <cell r="B77" t="str">
            <v>Klaten</v>
          </cell>
          <cell r="C77">
            <v>35037</v>
          </cell>
          <cell r="D77" t="str">
            <v>Dosen</v>
          </cell>
          <cell r="E77" t="str">
            <v>Production and Manufacturing System</v>
          </cell>
          <cell r="F77" t="str">
            <v>PSP</v>
          </cell>
          <cell r="G77" t="str">
            <v>Fakultas Rekayasa Industri</v>
          </cell>
          <cell r="H77" t="str">
            <v>perdanasuteja@telkomuniversity.ac.id</v>
          </cell>
          <cell r="I77" t="str">
            <v>Perdana Suteja Putra, S.T., M.T.</v>
          </cell>
        </row>
        <row r="78">
          <cell r="A78" t="str">
            <v>Nanda Iryani</v>
          </cell>
          <cell r="B78" t="str">
            <v>Probolinggo</v>
          </cell>
          <cell r="C78">
            <v>34093</v>
          </cell>
          <cell r="D78" t="str">
            <v>Dosen</v>
          </cell>
          <cell r="E78" t="e">
            <v>#N/A</v>
          </cell>
          <cell r="F78" t="str">
            <v>NDZ</v>
          </cell>
          <cell r="G78" t="str">
            <v>Fakultas Teknik Elektro</v>
          </cell>
          <cell r="I78" t="str">
            <v>Nanda Iryani, S.T., M.T.</v>
          </cell>
        </row>
        <row r="79">
          <cell r="A79" t="str">
            <v>Agoes Windarto</v>
          </cell>
          <cell r="B79" t="str">
            <v>Cilacap</v>
          </cell>
          <cell r="C79">
            <v>26517</v>
          </cell>
          <cell r="D79" t="str">
            <v>Wakil Direktur Bidang Admisi dan Kemahasiswaan</v>
          </cell>
          <cell r="E79" t="str">
            <v>Strategy, Human, Entrepreneurship &amp; Economy (SHEE)</v>
          </cell>
          <cell r="F79" t="str">
            <v>AWX</v>
          </cell>
          <cell r="G79" t="str">
            <v>Fakultas Ekonomi dan Bisnis</v>
          </cell>
          <cell r="H79" t="str">
            <v>agoeswindarto@telkomuniversity.ac.id</v>
          </cell>
          <cell r="I79" t="str">
            <v>Agoes Windarto, S.T., M.M.</v>
          </cell>
        </row>
        <row r="80">
          <cell r="A80" t="str">
            <v>Adzanil Rachmadhi Putra</v>
          </cell>
          <cell r="B80" t="str">
            <v>Malang</v>
          </cell>
          <cell r="C80">
            <v>34556</v>
          </cell>
          <cell r="D80" t="str">
            <v>Dosen</v>
          </cell>
          <cell r="E80" t="str">
            <v>Cybernetics</v>
          </cell>
          <cell r="F80" t="str">
            <v>ARX</v>
          </cell>
          <cell r="G80" t="str">
            <v>Fakultas Rekayasa Industri</v>
          </cell>
          <cell r="H80" t="str">
            <v>adzrachmadhip@telkomuniversity.ac.id</v>
          </cell>
          <cell r="I80" t="str">
            <v>Adzanil Rachmadhi Putra, S.Kom., M.Kom.</v>
          </cell>
        </row>
        <row r="81">
          <cell r="A81" t="str">
            <v>Affifiana Prisyanti</v>
          </cell>
          <cell r="B81" t="str">
            <v>Jember</v>
          </cell>
          <cell r="C81">
            <v>34188</v>
          </cell>
          <cell r="D81" t="str">
            <v>Dosen</v>
          </cell>
          <cell r="E81" t="str">
            <v>Enterprise and Industrial System (EINS)</v>
          </cell>
          <cell r="F81" t="str">
            <v>APX</v>
          </cell>
          <cell r="G81" t="str">
            <v>Fakultas Rekayasa Industri</v>
          </cell>
          <cell r="H81" t="str">
            <v>affifiana@telkomuniversity.ac.id</v>
          </cell>
          <cell r="I81" t="str">
            <v>Affifiana Prisyanti, S.Kom., M.Kom.</v>
          </cell>
        </row>
        <row r="82">
          <cell r="A82" t="str">
            <v>Alifiansyah Arrizqy Hidayat</v>
          </cell>
          <cell r="B82" t="str">
            <v>Jakarta</v>
          </cell>
          <cell r="C82">
            <v>35214</v>
          </cell>
          <cell r="D82" t="str">
            <v>Dosen</v>
          </cell>
          <cell r="E82" t="str">
            <v>Enterprise and Industrial System (EINS)</v>
          </cell>
          <cell r="F82" t="str">
            <v>AQH</v>
          </cell>
          <cell r="G82" t="str">
            <v>Fakultas Rekayasa Industri</v>
          </cell>
          <cell r="H82" t="str">
            <v>deandrys@telkomuniversity.ac.id</v>
          </cell>
          <cell r="I82" t="str">
            <v>Alifiansyah Arrizqy Hidayat, S.Kom., M.Kom.</v>
          </cell>
        </row>
        <row r="83">
          <cell r="A83" t="str">
            <v>Anisa Dzulkarnain</v>
          </cell>
          <cell r="B83" t="str">
            <v>Pamekasan</v>
          </cell>
          <cell r="C83">
            <v>34966</v>
          </cell>
          <cell r="D83" t="str">
            <v>Dosen</v>
          </cell>
          <cell r="E83" t="str">
            <v>Cybernetics</v>
          </cell>
          <cell r="F83" t="str">
            <v>AZQ</v>
          </cell>
          <cell r="G83" t="str">
            <v>Fakultas Rekayasa Industri</v>
          </cell>
          <cell r="H83" t="str">
            <v>anisadzulkarnain@telkomuniversity.ac.id</v>
          </cell>
          <cell r="I83" t="str">
            <v>Anisa Dzulkarnain, S.Kom., M.Kom.</v>
          </cell>
        </row>
        <row r="84">
          <cell r="A84" t="str">
            <v>Anita Hakim Nasution</v>
          </cell>
          <cell r="B84" t="str">
            <v>Jember</v>
          </cell>
          <cell r="C84">
            <v>32887</v>
          </cell>
          <cell r="D84" t="str">
            <v>Dosen</v>
          </cell>
          <cell r="E84" t="str">
            <v>Enterprise and Industrial System (EINS)</v>
          </cell>
          <cell r="F84" t="str">
            <v>AXA</v>
          </cell>
          <cell r="G84" t="str">
            <v>Fakultas Rekayasa Industri</v>
          </cell>
          <cell r="H84" t="str">
            <v>anitahakimnst@telkomuniversity.ac.id</v>
          </cell>
          <cell r="I84" t="str">
            <v>Anita Hakim Nasution, S.T., M.T.</v>
          </cell>
        </row>
        <row r="85">
          <cell r="A85" t="str">
            <v>Arip Ramadan</v>
          </cell>
          <cell r="B85" t="str">
            <v>Ciamis</v>
          </cell>
          <cell r="C85">
            <v>34040</v>
          </cell>
          <cell r="D85" t="str">
            <v>Dosen</v>
          </cell>
          <cell r="E85" t="str">
            <v>Cybernetics</v>
          </cell>
          <cell r="F85" t="str">
            <v>RMV</v>
          </cell>
          <cell r="G85" t="str">
            <v>Fakultas Rekayasa Industri</v>
          </cell>
          <cell r="H85" t="str">
            <v>aripramadan@telkomuniversity.ac.id</v>
          </cell>
          <cell r="I85" t="str">
            <v>Arip Ramadan, S.Si., M.Stat.</v>
          </cell>
        </row>
        <row r="86">
          <cell r="A86" t="str">
            <v>Wachda Yuniar Rochmah</v>
          </cell>
          <cell r="B86" t="str">
            <v>Bojonegoro</v>
          </cell>
          <cell r="C86">
            <v>35582</v>
          </cell>
          <cell r="D86" t="str">
            <v>Dosen</v>
          </cell>
          <cell r="E86" t="str">
            <v>ICT Business Management (IBM)</v>
          </cell>
          <cell r="F86" t="str">
            <v>WYR</v>
          </cell>
          <cell r="G86" t="str">
            <v>Fakultas Ekonomi dan Bisnis</v>
          </cell>
          <cell r="H86" t="str">
            <v>wachdayuniarr@telkomuniversity.ac.id</v>
          </cell>
          <cell r="I86" t="str">
            <v>Wachda Yuniar Rochmah, S.M., M.M.</v>
          </cell>
        </row>
        <row r="87">
          <cell r="A87" t="str">
            <v>Mustafa Kamal</v>
          </cell>
          <cell r="B87" t="str">
            <v>Banyuwangi</v>
          </cell>
          <cell r="C87">
            <v>30246</v>
          </cell>
          <cell r="D87" t="str">
            <v>Dosen</v>
          </cell>
          <cell r="E87" t="str">
            <v>Data Science and Intelligent Systems (DSIS)</v>
          </cell>
          <cell r="F87" t="str">
            <v>MFL</v>
          </cell>
          <cell r="G87" t="str">
            <v>Fakultas Informatika</v>
          </cell>
          <cell r="H87" t="str">
            <v>mustafakamal@telkomuniversity.ac.id</v>
          </cell>
          <cell r="I87" t="str">
            <v>Mustafa Kamal, S.Kom., M.Kom.</v>
          </cell>
        </row>
        <row r="88">
          <cell r="A88" t="str">
            <v>Yohanes Setiawan</v>
          </cell>
          <cell r="B88" t="str">
            <v>Surabaya</v>
          </cell>
          <cell r="C88">
            <v>34855</v>
          </cell>
          <cell r="D88" t="str">
            <v>Dosen</v>
          </cell>
          <cell r="E88" t="str">
            <v>Data Science and Intelligent Systems (DSIS)</v>
          </cell>
          <cell r="F88" t="str">
            <v>YOH</v>
          </cell>
          <cell r="G88" t="str">
            <v>Fakultas Informatika</v>
          </cell>
          <cell r="H88" t="str">
            <v>yohanessetiawan@telkomuniversity.ac.id</v>
          </cell>
          <cell r="I88" t="str">
            <v>Yohanes Setiawan, S.Si., M.Kom.</v>
          </cell>
        </row>
        <row r="89">
          <cell r="A89" t="str">
            <v>Rosyid Abdillah</v>
          </cell>
          <cell r="B89" t="str">
            <v>Lumajang</v>
          </cell>
          <cell r="C89">
            <v>33618</v>
          </cell>
          <cell r="D89" t="str">
            <v>Dosen</v>
          </cell>
          <cell r="E89" t="str">
            <v>Cybernetics</v>
          </cell>
          <cell r="F89" t="str">
            <v>ROX</v>
          </cell>
          <cell r="G89" t="str">
            <v>Fakultas Rekayasa Industri</v>
          </cell>
          <cell r="H89" t="str">
            <v>rosyidabdillah@telkomuniversity.ac.id</v>
          </cell>
          <cell r="I89" t="str">
            <v>Rosyid Abdillah, S.Si., M.Kom.</v>
          </cell>
        </row>
        <row r="90">
          <cell r="A90" t="str">
            <v>Vessa Rizky Oktavia</v>
          </cell>
          <cell r="B90" t="str">
            <v>Surabaya</v>
          </cell>
          <cell r="C90">
            <v>34977</v>
          </cell>
          <cell r="D90" t="str">
            <v>Dosen</v>
          </cell>
          <cell r="E90" t="str">
            <v>Data Science and Intelligent Systems (DSIS)</v>
          </cell>
          <cell r="F90" t="str">
            <v>VRO</v>
          </cell>
          <cell r="G90" t="str">
            <v>Fakultas Informatika</v>
          </cell>
          <cell r="H90" t="str">
            <v>vessarizky@telkomuniversity.ac.id</v>
          </cell>
          <cell r="I90" t="str">
            <v>Vessa Rizky Oktavia, S.Kom., M.Kom.</v>
          </cell>
        </row>
        <row r="91">
          <cell r="A91" t="str">
            <v>Alqis Rausanfita</v>
          </cell>
          <cell r="B91" t="str">
            <v>Surabaya</v>
          </cell>
          <cell r="C91">
            <v>35105</v>
          </cell>
          <cell r="D91" t="str">
            <v>Dosen</v>
          </cell>
          <cell r="E91" t="str">
            <v>Data Science and Intelligent Systems (DSIS)</v>
          </cell>
          <cell r="F91" t="str">
            <v>ALQ</v>
          </cell>
          <cell r="G91" t="str">
            <v>Fakultas Informatika</v>
          </cell>
          <cell r="H91" t="str">
            <v>alqisfita@telkomuniversity.ac.id</v>
          </cell>
          <cell r="I91" t="str">
            <v>Alqis Rausanfita, S.Kom., M.Kom.</v>
          </cell>
        </row>
        <row r="92">
          <cell r="A92" t="str">
            <v>Rifki Dwi Putranto</v>
          </cell>
          <cell r="B92" t="str">
            <v>Surakarta</v>
          </cell>
          <cell r="C92">
            <v>34877</v>
          </cell>
          <cell r="D92" t="str">
            <v>Dosen</v>
          </cell>
          <cell r="E92" t="str">
            <v>Sustainable Material, Instrumentation, Energy, and Computation (SMART)</v>
          </cell>
          <cell r="F92" t="str">
            <v>RIX</v>
          </cell>
          <cell r="G92" t="str">
            <v>Fakultas Teknik Elektro</v>
          </cell>
          <cell r="H92" t="str">
            <v>rifkidwi@telkomuniversity.ac.id</v>
          </cell>
          <cell r="I92" t="str">
            <v>Rifki Dwi Putranto, S.T., M.T.</v>
          </cell>
        </row>
        <row r="93">
          <cell r="A93" t="str">
            <v>Huki Chandra</v>
          </cell>
          <cell r="B93" t="str">
            <v>Pekanbaru</v>
          </cell>
          <cell r="C93">
            <v>35630</v>
          </cell>
          <cell r="D93" t="str">
            <v>Dosen</v>
          </cell>
          <cell r="E93" t="str">
            <v>Production and Manufacturing System</v>
          </cell>
          <cell r="F93" t="str">
            <v>HKC</v>
          </cell>
          <cell r="G93" t="str">
            <v>Fakultas Rekayasa Industri</v>
          </cell>
          <cell r="H93" t="str">
            <v>hukichandra@telkomuniversity.ac.id</v>
          </cell>
          <cell r="I93" t="str">
            <v>Huki Chandra, S.T., M.Sc.</v>
          </cell>
        </row>
        <row r="94">
          <cell r="A94" t="str">
            <v>Tita Ayu Rospricilia</v>
          </cell>
          <cell r="B94" t="str">
            <v>Sidoarjo</v>
          </cell>
          <cell r="C94">
            <v>35887</v>
          </cell>
          <cell r="D94" t="str">
            <v>Kepala Urusan</v>
          </cell>
          <cell r="E94" t="str">
            <v>Enterprise and Industrial System (EINS)</v>
          </cell>
          <cell r="F94" t="str">
            <v>TRL</v>
          </cell>
          <cell r="G94" t="str">
            <v>Fakultas Rekayasa Industri</v>
          </cell>
          <cell r="H94" t="str">
            <v>titaayu@telkomuniversity.ac.id</v>
          </cell>
          <cell r="I94" t="str">
            <v>Tita Ayu Rospricilia, S.Kom., M.Kom.</v>
          </cell>
        </row>
        <row r="95">
          <cell r="A95" t="str">
            <v>Dahliar Ananda</v>
          </cell>
          <cell r="B95" t="str">
            <v>Banyuwangi</v>
          </cell>
          <cell r="C95">
            <v>30073</v>
          </cell>
          <cell r="D95" t="str">
            <v>Kabag</v>
          </cell>
          <cell r="E95" t="str">
            <v>Software Engineering and Algorithm (SEAL)</v>
          </cell>
          <cell r="F95" t="str">
            <v>DAN</v>
          </cell>
          <cell r="G95" t="str">
            <v>Fakultas Informatika</v>
          </cell>
          <cell r="H95" t="str">
            <v>ananda@telkomuniversity.ac.id</v>
          </cell>
          <cell r="I95" t="str">
            <v>Dahliar Ananda, S.T., M.T.</v>
          </cell>
        </row>
        <row r="96">
          <cell r="A96" t="str">
            <v>Hendy Briantoro</v>
          </cell>
          <cell r="B96" t="str">
            <v>Pasuruan</v>
          </cell>
          <cell r="C96">
            <v>33084</v>
          </cell>
          <cell r="D96" t="str">
            <v>Kabag</v>
          </cell>
          <cell r="E96" t="str">
            <v>Intelligent Communications and Networks (ICON)</v>
          </cell>
          <cell r="F96" t="str">
            <v>HBO</v>
          </cell>
          <cell r="G96" t="str">
            <v>Fakultas Teknik Elektro</v>
          </cell>
          <cell r="H96" t="str">
            <v>hendybr@telkomuniversity.ac.id</v>
          </cell>
          <cell r="I96" t="str">
            <v>Hendy Briantoro, S.ST., M.T., Ph.D.</v>
          </cell>
        </row>
        <row r="97">
          <cell r="A97" t="str">
            <v>Berlian Rahmy Lidiawaty</v>
          </cell>
          <cell r="B97" t="str">
            <v>Kediri</v>
          </cell>
          <cell r="C97">
            <v>34617</v>
          </cell>
          <cell r="D97" t="str">
            <v>Dosen</v>
          </cell>
          <cell r="E97" t="str">
            <v>Cybernetics</v>
          </cell>
          <cell r="F97" t="str">
            <v>BRL</v>
          </cell>
          <cell r="G97" t="str">
            <v>Fakultas Rekayasa Industri</v>
          </cell>
          <cell r="H97" t="str">
            <v>berlianerel@telkomuniversity.ac.id</v>
          </cell>
          <cell r="I97" t="str">
            <v>Berlian Rahmy Lidiawaty, S.ST., M.MT.</v>
          </cell>
        </row>
        <row r="98">
          <cell r="A98" t="str">
            <v>Mohammad Yanuar Hariyawan</v>
          </cell>
          <cell r="B98" t="str">
            <v>Gresik</v>
          </cell>
          <cell r="C98">
            <v>27760</v>
          </cell>
          <cell r="D98" t="str">
            <v>Kaprodi</v>
          </cell>
          <cell r="E98" t="str">
            <v>Intelligent Communications and Networks (ICON)</v>
          </cell>
          <cell r="F98" t="str">
            <v>MYX</v>
          </cell>
          <cell r="G98" t="str">
            <v>Fakultas Teknik Elektro</v>
          </cell>
          <cell r="H98" t="str">
            <v>myanuar@telkomuniversity.ac.id</v>
          </cell>
          <cell r="I98" t="str">
            <v>Dr. Mohammad Yanuar Hariyawan, S.T., M.T.</v>
          </cell>
        </row>
        <row r="99">
          <cell r="A99" t="str">
            <v>Chaironi Latif</v>
          </cell>
          <cell r="B99" t="str">
            <v>Yogyakarta</v>
          </cell>
          <cell r="C99">
            <v>33151</v>
          </cell>
          <cell r="D99" t="str">
            <v>Kepala Urusan</v>
          </cell>
          <cell r="E99" t="str">
            <v>Sustainable Material, Instrumentation, Energy, and Computation (SMART)</v>
          </cell>
          <cell r="F99" t="str">
            <v>CLF</v>
          </cell>
          <cell r="G99" t="str">
            <v>Fakultas Teknik Elektro</v>
          </cell>
          <cell r="H99" t="str">
            <v>chaironi@telkomuniversity.ac.id</v>
          </cell>
          <cell r="I99" t="str">
            <v>Dr. Chaironi Latif, S.Si.</v>
          </cell>
        </row>
        <row r="100">
          <cell r="A100" t="str">
            <v>Aufar Fikri Dimyati</v>
          </cell>
          <cell r="B100" t="str">
            <v>Banyuwangi</v>
          </cell>
          <cell r="C100">
            <v>35691</v>
          </cell>
          <cell r="D100" t="str">
            <v>Dosen</v>
          </cell>
          <cell r="E100" t="str">
            <v>Production and Manufacturing System</v>
          </cell>
          <cell r="F100" t="str">
            <v>AUX</v>
          </cell>
          <cell r="G100" t="str">
            <v>Fakultas Rekayasa Industri</v>
          </cell>
          <cell r="H100" t="str">
            <v>aufarfd@telkomuniversity.ac.id</v>
          </cell>
          <cell r="I100" t="str">
            <v>Aufar Fikri Dimyati, S.T., M.T.</v>
          </cell>
        </row>
        <row r="101">
          <cell r="A101" t="str">
            <v>Muhammad Ilham Alhari</v>
          </cell>
          <cell r="B101" t="str">
            <v>Sragen</v>
          </cell>
          <cell r="C101">
            <v>36363</v>
          </cell>
          <cell r="D101" t="str">
            <v>Dosen</v>
          </cell>
          <cell r="E101" t="str">
            <v>Enterprise and Industrial System (EINS)</v>
          </cell>
          <cell r="F101" t="str">
            <v>LHA</v>
          </cell>
          <cell r="G101" t="str">
            <v>Fakultas Rekayasa Industri</v>
          </cell>
          <cell r="H101" t="str">
            <v>ilhamalhari@telkomuniversity.ac.id</v>
          </cell>
          <cell r="I101" t="str">
            <v>Muhammad Ilham Alhari, S.Kom., M.Kom.</v>
          </cell>
        </row>
        <row r="102">
          <cell r="A102" t="str">
            <v>Adisya Resti Rahmadanti</v>
          </cell>
          <cell r="B102" t="str">
            <v>Bandung</v>
          </cell>
          <cell r="C102">
            <v>36187</v>
          </cell>
          <cell r="D102" t="str">
            <v>Dosen</v>
          </cell>
          <cell r="E102" t="str">
            <v>Strategy, Human, Entrepreneurship &amp; Economy (SHEE)</v>
          </cell>
          <cell r="F102" t="str">
            <v>NTI</v>
          </cell>
          <cell r="G102" t="str">
            <v>Fakultas Ekonomi dan Bisnis</v>
          </cell>
          <cell r="H102" t="str">
            <v>adisyaresti@telkomuniversity.ac.id</v>
          </cell>
          <cell r="I102" t="str">
            <v>Adisya Resti Rahmadanti, S.M., M.A.B.</v>
          </cell>
        </row>
        <row r="103">
          <cell r="A103" t="str">
            <v>Arni Muarifah Amri</v>
          </cell>
          <cell r="B103" t="str">
            <v>Bantaeng</v>
          </cell>
          <cell r="C103">
            <v>33042</v>
          </cell>
          <cell r="D103" t="str">
            <v>Dosen</v>
          </cell>
          <cell r="E103" t="str">
            <v>Software Engineering and Algorithm (SEAL)</v>
          </cell>
          <cell r="F103" t="str">
            <v>NIE</v>
          </cell>
          <cell r="G103" t="str">
            <v>Fakultas Informatika</v>
          </cell>
          <cell r="H103" t="str">
            <v>arnyrivah@telkomuniversity.ac.id</v>
          </cell>
          <cell r="I103" t="str">
            <v>Arni Muarifah Amri, S.T., M.T.</v>
          </cell>
        </row>
        <row r="104">
          <cell r="A104" t="str">
            <v>Daud Muhajir</v>
          </cell>
          <cell r="B104" t="str">
            <v>Sidoarjo</v>
          </cell>
          <cell r="C104">
            <v>35622</v>
          </cell>
          <cell r="D104" t="str">
            <v>Dosen</v>
          </cell>
          <cell r="E104" t="str">
            <v>Software Engineering and Algorithm (SEAL)</v>
          </cell>
          <cell r="F104" t="str">
            <v>MHJ</v>
          </cell>
          <cell r="G104" t="str">
            <v>Fakultas Informatika</v>
          </cell>
          <cell r="H104" t="str">
            <v>daudmuhajir@telkomuniversity.ac.id</v>
          </cell>
          <cell r="I104" t="str">
            <v>Daud Muhajir, S.Kom., M.Kom.</v>
          </cell>
        </row>
        <row r="105">
          <cell r="A105" t="str">
            <v>Dyah Putri Rahmawati</v>
          </cell>
          <cell r="B105" t="str">
            <v>Jombang</v>
          </cell>
          <cell r="C105">
            <v>35143</v>
          </cell>
          <cell r="D105" t="str">
            <v>Dosen</v>
          </cell>
          <cell r="E105" t="str">
            <v>Data Science and Intelligent Systems (DSIS)</v>
          </cell>
          <cell r="F105" t="str">
            <v>DPH</v>
          </cell>
          <cell r="G105" t="str">
            <v>Fakultas Informatika</v>
          </cell>
          <cell r="H105" t="str">
            <v>dyahputri@telkomuniversity.ac.id</v>
          </cell>
          <cell r="I105" t="str">
            <v>Dr. Dyah Putri Rahmawati, S.Stat.</v>
          </cell>
        </row>
        <row r="106">
          <cell r="A106" t="str">
            <v>Eka Sari Oktarina</v>
          </cell>
          <cell r="B106" t="str">
            <v>Malang</v>
          </cell>
          <cell r="C106">
            <v>33515</v>
          </cell>
          <cell r="D106" t="str">
            <v>Dosen</v>
          </cell>
          <cell r="E106" t="str">
            <v>Control, Elektronics, and Intelligent Systems (CEIS)</v>
          </cell>
          <cell r="F106" t="str">
            <v>ORN</v>
          </cell>
          <cell r="G106" t="str">
            <v>Fakultas Teknik Elektro</v>
          </cell>
          <cell r="H106" t="str">
            <v>ekasario@telkomuniversity.ac.id</v>
          </cell>
          <cell r="I106" t="str">
            <v>Eka Sari Oktarina, S.Kom., M.Eng.</v>
          </cell>
        </row>
        <row r="107">
          <cell r="A107" t="str">
            <v>Krisnayanti Aditasari</v>
          </cell>
          <cell r="B107" t="str">
            <v>Surabaya</v>
          </cell>
          <cell r="C107">
            <v>36315</v>
          </cell>
          <cell r="D107" t="str">
            <v>Dosen</v>
          </cell>
          <cell r="E107" t="str">
            <v>Strategy, Human, Entrepreneurship &amp; Economy (SHEE)</v>
          </cell>
          <cell r="F107" t="str">
            <v>KNY</v>
          </cell>
          <cell r="G107" t="str">
            <v>Fakultas Ekonomi dan Bisnis</v>
          </cell>
          <cell r="H107" t="str">
            <v>krisnaaditasari@telkomuniversity.ac.id</v>
          </cell>
          <cell r="I107" t="str">
            <v>Krisnayanti Aditasari, S.M., M.MT.</v>
          </cell>
        </row>
        <row r="108">
          <cell r="A108" t="str">
            <v>Pima Hani Safitri</v>
          </cell>
          <cell r="B108" t="str">
            <v>Madiun</v>
          </cell>
          <cell r="C108">
            <v>34761</v>
          </cell>
          <cell r="D108" t="str">
            <v>Dosen</v>
          </cell>
          <cell r="E108" t="str">
            <v>Data Science and Intelligent Systems (DSIS)</v>
          </cell>
          <cell r="F108" t="str">
            <v>PIM</v>
          </cell>
          <cell r="G108" t="str">
            <v>Fakultas Informatika</v>
          </cell>
          <cell r="H108" t="str">
            <v>phanisafitri@telkomuniversity.ac.id</v>
          </cell>
          <cell r="I108" t="str">
            <v>Pima Hani Safitri, S.Kom., M.Kom.</v>
          </cell>
        </row>
        <row r="109">
          <cell r="A109" t="str">
            <v>Tanzilal Mustaqim</v>
          </cell>
          <cell r="B109" t="str">
            <v>Sragen</v>
          </cell>
          <cell r="C109">
            <v>36021</v>
          </cell>
          <cell r="D109" t="str">
            <v>Dosen</v>
          </cell>
          <cell r="E109" t="str">
            <v>Data Science and Intelligent Systems (DSIS)</v>
          </cell>
          <cell r="F109" t="str">
            <v>TZL</v>
          </cell>
          <cell r="G109" t="str">
            <v>Fakultas Informatika</v>
          </cell>
          <cell r="H109" t="str">
            <v>tanzilal@telkomuniversity.ac.id</v>
          </cell>
          <cell r="I109" t="str">
            <v>Tanzilal Mustaqim, S.Kom., M.Kom.</v>
          </cell>
        </row>
        <row r="110">
          <cell r="A110" t="str">
            <v>Mastuty Ayu Ningtyas</v>
          </cell>
          <cell r="B110" t="str">
            <v>Nganjuk</v>
          </cell>
          <cell r="C110">
            <v>35592</v>
          </cell>
          <cell r="D110" t="str">
            <v>Kepala Urusan</v>
          </cell>
          <cell r="E110" t="str">
            <v>Software Engineering and Algorithm (SEAL)</v>
          </cell>
          <cell r="F110" t="str">
            <v>MUN</v>
          </cell>
          <cell r="G110" t="str">
            <v>Fakultas Informatika</v>
          </cell>
          <cell r="H110" t="str">
            <v>mastutyayu@telkomuniversity.ac.id</v>
          </cell>
          <cell r="I110" t="str">
            <v>Mastuty Ayu Ningtyas, S.Kom., M.MT.</v>
          </cell>
        </row>
        <row r="111">
          <cell r="A111" t="str">
            <v>Paramaditya Arismawati</v>
          </cell>
          <cell r="B111" t="str">
            <v>Jakarta</v>
          </cell>
          <cell r="C111">
            <v>34705</v>
          </cell>
          <cell r="D111" t="str">
            <v>Kabag</v>
          </cell>
          <cell r="E111" t="str">
            <v>Enterprise and Industrial System (EINS)</v>
          </cell>
          <cell r="F111" t="str">
            <v>PAM</v>
          </cell>
          <cell r="G111" t="str">
            <v>Fakultas Rekayasa Industri</v>
          </cell>
          <cell r="H111" t="str">
            <v>paramadityaars@telkomuniversity.ac.id</v>
          </cell>
          <cell r="I111" t="str">
            <v>Paramaditya Arismawati, S.T., M.T.</v>
          </cell>
        </row>
        <row r="112">
          <cell r="A112" t="str">
            <v>Tri Arief Sardjono</v>
          </cell>
          <cell r="B112" t="str">
            <v>Surabaya</v>
          </cell>
          <cell r="C112">
            <v>25611</v>
          </cell>
          <cell r="D112" t="str">
            <v>Direktur</v>
          </cell>
          <cell r="E112" t="str">
            <v>Intelligent Communications and Networks (ICON)</v>
          </cell>
          <cell r="F112" t="str">
            <v>TAF</v>
          </cell>
          <cell r="G112" t="str">
            <v>Fakultas Teknik Elektro</v>
          </cell>
          <cell r="H112" t="str">
            <v>sardjonotriarief@telkomuniversity.ac.id</v>
          </cell>
          <cell r="I112" t="str">
            <v>Prof. Dr. Tri Arief Sardjono, S.T., M.T.</v>
          </cell>
        </row>
        <row r="113">
          <cell r="A113" t="str">
            <v>Nicko Nur Rakhmaddian</v>
          </cell>
          <cell r="C113" t="e">
            <v>#N/A</v>
          </cell>
          <cell r="E113" t="e">
            <v>#N/A</v>
          </cell>
          <cell r="F113" t="e">
            <v>#N/A</v>
          </cell>
          <cell r="H113" t="str">
            <v xml:space="preserve"> </v>
          </cell>
        </row>
        <row r="114">
          <cell r="A114" t="str">
            <v>Bambang Lelono Widjiantoro</v>
          </cell>
          <cell r="B114" t="str">
            <v>Jombang</v>
          </cell>
          <cell r="C114">
            <v>25330</v>
          </cell>
          <cell r="D114" t="str">
            <v>Wakil Direktur Bidang Akademik dan Riset</v>
          </cell>
          <cell r="E114" t="str">
            <v>Cybernetics</v>
          </cell>
          <cell r="F114" t="str">
            <v>BLW</v>
          </cell>
          <cell r="G114" t="str">
            <v>Fakultas Rekayasa Industri</v>
          </cell>
          <cell r="H114" t="str">
            <v>bambanglelono@telkomuniversity.ac.id</v>
          </cell>
          <cell r="I114" t="str">
            <v>Dr. Bambang Lelono Widjiantoro, S.T., M.T.</v>
          </cell>
        </row>
        <row r="115">
          <cell r="A115" t="str">
            <v>Fandisya Rahman</v>
          </cell>
          <cell r="B115" t="str">
            <v>Malang</v>
          </cell>
          <cell r="C115">
            <v>33004</v>
          </cell>
          <cell r="D115" t="str">
            <v>Dosen</v>
          </cell>
          <cell r="E115" t="str">
            <v>Communication and Information Technology Infrastructure (CITI)</v>
          </cell>
          <cell r="F115" t="str">
            <v>FND</v>
          </cell>
          <cell r="G115" t="str">
            <v>Fakultas Informatika</v>
          </cell>
          <cell r="H115" t="str">
            <v>fandisya@telkomuniversity.ac.id</v>
          </cell>
          <cell r="I115" t="str">
            <v>Fandisya Rahman, S.Kom., M.Kom.</v>
          </cell>
        </row>
        <row r="116">
          <cell r="A116" t="str">
            <v>Rudi Harianto</v>
          </cell>
          <cell r="B116" t="str">
            <v>Malang</v>
          </cell>
          <cell r="C116">
            <v>33004</v>
          </cell>
          <cell r="D116" t="str">
            <v>Dosen</v>
          </cell>
          <cell r="F116" t="str">
            <v>RHO</v>
          </cell>
          <cell r="G116" t="str">
            <v>Fakultas Ekonomi dan Bisnis</v>
          </cell>
          <cell r="H116" t="str">
            <v>rudiharianto@telkomuniversity.ac.id</v>
          </cell>
          <cell r="I116" t="str">
            <v>Rudi Harianto, S.E., M.A.</v>
          </cell>
        </row>
        <row r="117">
          <cell r="A117" t="str">
            <v>N. Azizia Gia Mutiarasari</v>
          </cell>
          <cell r="B117" t="str">
            <v>Brebes</v>
          </cell>
          <cell r="C117">
            <v>35659</v>
          </cell>
          <cell r="D117" t="str">
            <v>Dosen</v>
          </cell>
          <cell r="F117" t="str">
            <v>AGM</v>
          </cell>
          <cell r="G117" t="str">
            <v>Fakultas Ekonomi dan Bisnis</v>
          </cell>
          <cell r="H117" t="str">
            <v>naziziagia@telkomuniversity.ac.id</v>
          </cell>
          <cell r="I117" t="str">
            <v>N. Azizia Gia Mutiarasari, S.M., MBA</v>
          </cell>
        </row>
        <row r="118">
          <cell r="A118" t="str">
            <v>Dimas Chaerul Ekty Saputra</v>
          </cell>
          <cell r="B118" t="str">
            <v>Yogyakarta</v>
          </cell>
          <cell r="C118">
            <v>35975</v>
          </cell>
          <cell r="D118" t="str">
            <v>Dosen</v>
          </cell>
          <cell r="F118" t="str">
            <v>DCE</v>
          </cell>
          <cell r="G118" t="str">
            <v>Fakultas Informatika</v>
          </cell>
          <cell r="H118" t="str">
            <v>dimaschaerulekty@telkomuniversity.ac.id</v>
          </cell>
          <cell r="I118" t="str">
            <v>Dimas Chaerul Ekty Saputra, S.Kom., M.Sc.</v>
          </cell>
        </row>
        <row r="119">
          <cell r="A119" t="str">
            <v>Bambang Agus Sumantri</v>
          </cell>
          <cell r="B119" t="str">
            <v>Kediri</v>
          </cell>
          <cell r="C119">
            <v>29463</v>
          </cell>
          <cell r="D119" t="str">
            <v>Dosen</v>
          </cell>
          <cell r="F119" t="str">
            <v>BSG</v>
          </cell>
          <cell r="G119" t="str">
            <v>Fakultas Ekonomi dan Bisnis</v>
          </cell>
          <cell r="H119" t="str">
            <v>bambangagussumantri@telkomuniversity.ac.id</v>
          </cell>
          <cell r="I119" t="str">
            <v>Dr.M. Bambang Agus Sumantri, S.IP., M.M.</v>
          </cell>
        </row>
        <row r="120">
          <cell r="A120" t="str">
            <v>Alon Jala Tirta Segara</v>
          </cell>
          <cell r="B120" t="str">
            <v>Mojokerto</v>
          </cell>
          <cell r="C120">
            <v>33668</v>
          </cell>
          <cell r="D120" t="str">
            <v>Dosen</v>
          </cell>
          <cell r="F120" t="str">
            <v>AJS</v>
          </cell>
          <cell r="G120" t="str">
            <v>Fakultas Informatika</v>
          </cell>
          <cell r="I120" t="str">
            <v>Alon Jala Tirta Segara, S.Kom., M.Kom.</v>
          </cell>
        </row>
        <row r="121">
          <cell r="A121" t="str">
            <v>Muhammad Farhansyah Mondari</v>
          </cell>
          <cell r="B121" t="str">
            <v>Padang</v>
          </cell>
          <cell r="C121">
            <v>37014</v>
          </cell>
          <cell r="D121" t="str">
            <v>Dosen</v>
          </cell>
          <cell r="F121" t="str">
            <v>HRH</v>
          </cell>
          <cell r="G121" t="str">
            <v>Fakultas Ekonomi dan Bisnis</v>
          </cell>
          <cell r="I121" t="str">
            <v>Muhammad Farhansyah Mondari, S.M., M.M.</v>
          </cell>
        </row>
        <row r="122">
          <cell r="A122" t="str">
            <v>Rizqi Ramadhan</v>
          </cell>
          <cell r="B122" t="str">
            <v>Banyuwangi</v>
          </cell>
          <cell r="C122">
            <v>36171</v>
          </cell>
          <cell r="D122" t="str">
            <v>Dosen</v>
          </cell>
          <cell r="F122" t="str">
            <v>ZQI</v>
          </cell>
          <cell r="G122" t="str">
            <v>Fakultas Rekayasa Industri</v>
          </cell>
          <cell r="I122" t="str">
            <v>Rizqi Ramadhan, S.T., M.Kom.</v>
          </cell>
        </row>
        <row r="123">
          <cell r="A123" t="str">
            <v>Rohmah Hidayah</v>
          </cell>
          <cell r="B123" t="str">
            <v>Tuban</v>
          </cell>
          <cell r="C123">
            <v>36534</v>
          </cell>
          <cell r="D123" t="str">
            <v>Dosen</v>
          </cell>
          <cell r="F123" t="str">
            <v>HYH</v>
          </cell>
          <cell r="G123" t="str">
            <v>Fakultas Teknik Elektro</v>
          </cell>
          <cell r="I123" t="str">
            <v>Rohmah Hidayah, S.Tr.T., M.T.</v>
          </cell>
        </row>
        <row r="124">
          <cell r="A124" t="str">
            <v>⁠Salsabila Putri Indah Sari</v>
          </cell>
          <cell r="B124" t="str">
            <v>Cirebon</v>
          </cell>
          <cell r="C124">
            <v>36985</v>
          </cell>
          <cell r="D124" t="str">
            <v>Dosen</v>
          </cell>
          <cell r="F124" t="str">
            <v>SSP</v>
          </cell>
          <cell r="G124" t="str">
            <v>Fakultas Rekayasa Industri</v>
          </cell>
          <cell r="I124" t="str">
            <v>Salsabila Putri Indah Sari, S.T., M.T.</v>
          </cell>
        </row>
        <row r="125">
          <cell r="A125" t="str">
            <v>Qori Afiata Fiddina</v>
          </cell>
          <cell r="B125" t="str">
            <v>Kediri</v>
          </cell>
          <cell r="C125">
            <v>35641</v>
          </cell>
          <cell r="D125" t="str">
            <v>Dosen</v>
          </cell>
          <cell r="F125" t="str">
            <v>QAF</v>
          </cell>
          <cell r="G125" t="str">
            <v>Fakultas Informatika</v>
          </cell>
          <cell r="H125" t="str">
            <v>qoriafiatafiddina@telkomuniversity.ac.id</v>
          </cell>
          <cell r="I125" t="str">
            <v>Qori Afiata Fiddina, S.Mat., M.Mat.</v>
          </cell>
        </row>
        <row r="126">
          <cell r="A126" t="str">
            <v>Rafika Damayanti Sururin Nufus</v>
          </cell>
          <cell r="B126" t="str">
            <v>Bengkulu</v>
          </cell>
          <cell r="C126">
            <v>35804</v>
          </cell>
          <cell r="D126" t="str">
            <v>Dosen</v>
          </cell>
          <cell r="F126" t="str">
            <v>FYF</v>
          </cell>
          <cell r="G126" t="str">
            <v>Fakultas Informatika</v>
          </cell>
          <cell r="H126" t="str">
            <v>rafikadamayanti@telkomuniversity.ac.id</v>
          </cell>
          <cell r="I126" t="str">
            <v>Rafika Damayanti Sururin Nufus, S.Mat., M.Si.</v>
          </cell>
        </row>
        <row r="127">
          <cell r="A127" t="str">
            <v>Nuchaila Ainiyah</v>
          </cell>
          <cell r="B127" t="str">
            <v>Malang</v>
          </cell>
          <cell r="C127">
            <v>36008</v>
          </cell>
          <cell r="D127" t="str">
            <v>Dosen</v>
          </cell>
          <cell r="F127" t="str">
            <v>NHH</v>
          </cell>
          <cell r="G127" t="str">
            <v>Fakultas Informatika</v>
          </cell>
          <cell r="H127" t="str">
            <v>nuchailaainiyah@telkomuniversity.ac.id</v>
          </cell>
          <cell r="I127" t="str">
            <v>Nuchaila Ainiyah, S.Mat., M.Mat.</v>
          </cell>
        </row>
        <row r="128">
          <cell r="A128" t="str">
            <v>Faisal Zaidan Pradana</v>
          </cell>
          <cell r="B128" t="str">
            <v>Karang Anyar</v>
          </cell>
          <cell r="C128">
            <v>36919</v>
          </cell>
          <cell r="D128" t="str">
            <v>Dosen</v>
          </cell>
          <cell r="F128" t="str">
            <v>FZP</v>
          </cell>
          <cell r="G128" t="str">
            <v>Fakultas Informatika</v>
          </cell>
          <cell r="H128" t="str">
            <v>faisalzaidanpradana@telkomuniversity.ac.id</v>
          </cell>
          <cell r="I128" t="str">
            <v>Faisal Zaidan Pradana, S.Aktr., M.Si.</v>
          </cell>
        </row>
        <row r="129">
          <cell r="A129" t="str">
            <v>Affifah Mutiara Pertiwi</v>
          </cell>
          <cell r="B129" t="str">
            <v>Kulon Progo</v>
          </cell>
          <cell r="C129">
            <v>34928</v>
          </cell>
          <cell r="D129" t="str">
            <v>Dosen</v>
          </cell>
          <cell r="F129" t="str">
            <v>FFM</v>
          </cell>
          <cell r="G129" t="str">
            <v>Fakultas Informatika</v>
          </cell>
          <cell r="H129" t="str">
            <v>affifahmutiara@telkomuniversity.ac.id</v>
          </cell>
          <cell r="I129" t="str">
            <v>Affifah Mutiara Pertiwi, S.Kom., M.Cs.</v>
          </cell>
        </row>
        <row r="130">
          <cell r="A130" t="str">
            <v>Karina Fitriwulandari Ilham</v>
          </cell>
          <cell r="B130" t="str">
            <v>Bone</v>
          </cell>
          <cell r="C130">
            <v>36888</v>
          </cell>
          <cell r="D130" t="str">
            <v>Dosen</v>
          </cell>
          <cell r="F130" t="str">
            <v>KFI</v>
          </cell>
          <cell r="G130" t="str">
            <v>Fakultas Informatika</v>
          </cell>
          <cell r="H130" t="str">
            <v>karinafitriwulandari@telkomuniversity.ac.id</v>
          </cell>
          <cell r="I130" t="str">
            <v>Karina Fitriwulandari Ilham, S.Kom., M.Kom.</v>
          </cell>
        </row>
        <row r="131">
          <cell r="A131" t="str">
            <v>Fanda Lyta Suzanayanti</v>
          </cell>
          <cell r="B131" t="str">
            <v>Semarang</v>
          </cell>
          <cell r="C131">
            <v>27804</v>
          </cell>
          <cell r="D131" t="str">
            <v>Dosen</v>
          </cell>
          <cell r="F131" t="str">
            <v>FLY</v>
          </cell>
          <cell r="G131" t="str">
            <v>Fakultas Teknik Elektro</v>
          </cell>
          <cell r="H131" t="str">
            <v>fansuzan@telkomuniversity.ac.id</v>
          </cell>
          <cell r="I131" t="str">
            <v>Fanda Lyta Suzanayanti, S.T., M.T.</v>
          </cell>
        </row>
        <row r="132">
          <cell r="A132" t="str">
            <v>Laila Putri Faradilah</v>
          </cell>
          <cell r="B132" t="str">
            <v>Pasuruan</v>
          </cell>
          <cell r="C132">
            <v>37340</v>
          </cell>
          <cell r="D132" t="str">
            <v>Dosen</v>
          </cell>
          <cell r="F132" t="str">
            <v>LPF</v>
          </cell>
          <cell r="G132" t="str">
            <v>Fakultas Rekayasa Industri</v>
          </cell>
          <cell r="H132" t="str">
            <v>lailaputrifaradilah@telkomuniversity.ac.id</v>
          </cell>
          <cell r="I132" t="str">
            <v>Laila Putri Faradilah, S.T., M.T.</v>
          </cell>
        </row>
        <row r="133">
          <cell r="A133" t="str">
            <v>Rizal Ardianto</v>
          </cell>
          <cell r="B133" t="str">
            <v>Surabaya</v>
          </cell>
          <cell r="C133">
            <v>29442</v>
          </cell>
          <cell r="D133" t="str">
            <v>Dosen</v>
          </cell>
          <cell r="F133" t="str">
            <v>RRO</v>
          </cell>
          <cell r="G133" t="str">
            <v>Fakultas Rekayasa Industri</v>
          </cell>
          <cell r="H133" t="str">
            <v>rizalardianto@telkomuniversity.ac.id</v>
          </cell>
          <cell r="I133" t="str">
            <v>Rizal Ardianto, S.T., M.T.</v>
          </cell>
        </row>
        <row r="134">
          <cell r="A134" t="str">
            <v>Siskha Nur Khasanah</v>
          </cell>
          <cell r="B134" t="str">
            <v>Tuban</v>
          </cell>
          <cell r="C134">
            <v>35997</v>
          </cell>
          <cell r="D134" t="str">
            <v>Dosen</v>
          </cell>
          <cell r="F134" t="str">
            <v>SNK</v>
          </cell>
          <cell r="G134" t="str">
            <v>Fakultas Ekonomi dan Bisnis</v>
          </cell>
          <cell r="H134" t="str">
            <v>siskhanurkhasanah@telkomuniversity.ac.id</v>
          </cell>
          <cell r="I134" t="str">
            <v>Siskha Nur Khasanah, S.M., M.S.M., M.B.A.</v>
          </cell>
        </row>
        <row r="135">
          <cell r="A135" t="str">
            <v>Qashiratuth Tharfi Aini</v>
          </cell>
          <cell r="B135" t="str">
            <v>Blitar</v>
          </cell>
          <cell r="C135">
            <v>37200</v>
          </cell>
          <cell r="D135" t="str">
            <v>Dosen</v>
          </cell>
          <cell r="F135" t="str">
            <v>QSH</v>
          </cell>
          <cell r="G135" t="str">
            <v>Fakultas Ekonomi dan Bisnis</v>
          </cell>
          <cell r="H135" t="str">
            <v>qashiratuththarfi@telkomuniversity.ac.id</v>
          </cell>
          <cell r="I135" t="str">
            <v>Qashiratuth Tharfi Aini, S.EI., M.SEI.</v>
          </cell>
        </row>
        <row r="136">
          <cell r="A136" t="str">
            <v>Erita Cicilia Febrianti</v>
          </cell>
          <cell r="B136" t="str">
            <v>Surabaya</v>
          </cell>
          <cell r="C136">
            <v>36249</v>
          </cell>
          <cell r="D136" t="str">
            <v>Dosen</v>
          </cell>
          <cell r="F136" t="str">
            <v>CCL</v>
          </cell>
          <cell r="G136" t="str">
            <v>Fakultas Informatika</v>
          </cell>
          <cell r="H136" t="str">
            <v>eritacicilia@telkomuniversity.ac.id</v>
          </cell>
          <cell r="I136" t="str">
            <v>Erita Cicilia Febrianti, S.Tr.T, M.Tr.Kom.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9F0A6-91FC-46A5-ADE7-768E022B9DF7}">
  <sheetPr filterMode="1"/>
  <dimension ref="A1:G144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F8" sqref="F8"/>
    </sheetView>
  </sheetViews>
  <sheetFormatPr defaultColWidth="9.140625" defaultRowHeight="15" customHeight="1" x14ac:dyDescent="0.25"/>
  <cols>
    <col min="1" max="1" width="7.28515625" style="3" bestFit="1" customWidth="1"/>
    <col min="2" max="2" width="39.140625" style="3" bestFit="1" customWidth="1"/>
    <col min="3" max="3" width="18.42578125" style="3" bestFit="1" customWidth="1"/>
    <col min="4" max="4" width="32.7109375" style="3" bestFit="1" customWidth="1"/>
    <col min="5" max="5" width="13.7109375" style="3" bestFit="1" customWidth="1"/>
    <col min="6" max="6" width="66.42578125" style="3" bestFit="1" customWidth="1"/>
    <col min="7" max="7" width="22.140625" style="3" bestFit="1" customWidth="1"/>
    <col min="8" max="16384" width="9.140625" style="3"/>
  </cols>
  <sheetData>
    <row r="1" spans="1:7" s="2" customFormat="1" ht="7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.75" customHeight="1" x14ac:dyDescent="0.25">
      <c r="A2" s="4">
        <v>1</v>
      </c>
      <c r="B2" s="4" t="s">
        <v>7</v>
      </c>
      <c r="C2" s="4" t="s">
        <v>8</v>
      </c>
      <c r="D2" s="4" t="s">
        <v>9</v>
      </c>
      <c r="E2" s="4">
        <v>25620001</v>
      </c>
      <c r="F2" s="4" t="str">
        <f>VLOOKUP(B2,[1]Sheet2!A2:I119,9,FALSE)</f>
        <v>Ir. Tri Agus Djoko Kuntjoro, M.T.</v>
      </c>
      <c r="G2" s="8" t="str">
        <f>VLOOKUP(B2,[1]Sheet2!A2:F119,6,FALSE)</f>
        <v>ORO</v>
      </c>
    </row>
    <row r="3" spans="1:7" ht="18" x14ac:dyDescent="0.25">
      <c r="A3" s="4">
        <v>2</v>
      </c>
      <c r="B3" s="4" t="s">
        <v>10</v>
      </c>
      <c r="C3" s="4" t="s">
        <v>8</v>
      </c>
      <c r="D3" s="4" t="s">
        <v>11</v>
      </c>
      <c r="E3" s="4">
        <v>19870005</v>
      </c>
      <c r="F3" s="4" t="str">
        <f>VLOOKUP(B3,[1]Sheet2!A3:I120,9,FALSE)</f>
        <v>Dwi Edi Setyawan, S.T., M.T.</v>
      </c>
      <c r="G3" s="8" t="str">
        <f>VLOOKUP(B3,[1]Sheet2!A3:F120,6,FALSE)</f>
        <v>DWZ</v>
      </c>
    </row>
    <row r="4" spans="1:7" ht="18" x14ac:dyDescent="0.25">
      <c r="A4" s="4">
        <v>3</v>
      </c>
      <c r="B4" s="4" t="s">
        <v>12</v>
      </c>
      <c r="C4" s="4" t="s">
        <v>8</v>
      </c>
      <c r="D4" s="4" t="s">
        <v>11</v>
      </c>
      <c r="E4" s="4">
        <v>19880005</v>
      </c>
      <c r="F4" s="4" t="str">
        <f>VLOOKUP(B4,[1]Sheet2!A4:I121,9,FALSE)</f>
        <v>Moch. Iskandar Riansyah, S.ST., M.T.</v>
      </c>
      <c r="G4" s="8" t="str">
        <f>VLOOKUP(B4,[1]Sheet2!A4:F121,6,FALSE)</f>
        <v>ISC</v>
      </c>
    </row>
    <row r="5" spans="1:7" ht="18" x14ac:dyDescent="0.25">
      <c r="A5" s="4">
        <v>4</v>
      </c>
      <c r="B5" s="4" t="s">
        <v>13</v>
      </c>
      <c r="C5" s="4" t="s">
        <v>8</v>
      </c>
      <c r="D5" s="4" t="s">
        <v>14</v>
      </c>
      <c r="E5" s="4">
        <v>19920005</v>
      </c>
      <c r="F5" s="4" t="str">
        <f>VLOOKUP(B5,[1]Sheet2!A5:I122,9,FALSE)</f>
        <v>Khodijah Amiroh, S.ST., M.T.</v>
      </c>
      <c r="G5" s="8" t="str">
        <f>VLOOKUP(B5,[1]Sheet2!A5:F122,6,FALSE)</f>
        <v>DIJ</v>
      </c>
    </row>
    <row r="6" spans="1:7" ht="18" x14ac:dyDescent="0.25">
      <c r="A6" s="4">
        <v>5</v>
      </c>
      <c r="B6" s="4" t="s">
        <v>15</v>
      </c>
      <c r="C6" s="4" t="s">
        <v>8</v>
      </c>
      <c r="D6" s="4" t="s">
        <v>11</v>
      </c>
      <c r="E6" s="4">
        <v>19930001</v>
      </c>
      <c r="F6" s="4" t="str">
        <f>VLOOKUP(B6,[1]Sheet2!A6:I123,9,FALSE)</f>
        <v xml:space="preserve"> Dimas Adiputra, B.Sc., M.Phil., Ph.D.</v>
      </c>
      <c r="G6" s="8" t="str">
        <f>VLOOKUP(B6,[1]Sheet2!A6:F123,6,FALSE)</f>
        <v>DIV</v>
      </c>
    </row>
    <row r="7" spans="1:7" ht="18" x14ac:dyDescent="0.25">
      <c r="A7" s="4">
        <v>6</v>
      </c>
      <c r="B7" s="4" t="s">
        <v>16</v>
      </c>
      <c r="C7" s="4" t="s">
        <v>8</v>
      </c>
      <c r="D7" s="4" t="s">
        <v>11</v>
      </c>
      <c r="E7" s="4">
        <v>19920002</v>
      </c>
      <c r="F7" s="4" t="str">
        <f>VLOOKUP(B7,[1]Sheet2!A7:I124,9,FALSE)</f>
        <v>Dr. Isa Hafidz, S.T., M.T.</v>
      </c>
      <c r="G7" s="8" t="str">
        <f>VLOOKUP(B7,[1]Sheet2!A7:F124,6,FALSE)</f>
        <v>IHF</v>
      </c>
    </row>
    <row r="8" spans="1:7" ht="18" x14ac:dyDescent="0.25">
      <c r="A8" s="4">
        <v>7</v>
      </c>
      <c r="B8" s="4" t="s">
        <v>17</v>
      </c>
      <c r="C8" s="4" t="s">
        <v>8</v>
      </c>
      <c r="D8" s="4" t="s">
        <v>9</v>
      </c>
      <c r="E8" s="4">
        <v>19890002</v>
      </c>
      <c r="F8" s="4" t="str">
        <f>VLOOKUP(B8,[1]Sheet2!A8:I125,9,FALSE)</f>
        <v>Walid Maulana Hadiansyah, S.T., M.T.</v>
      </c>
      <c r="G8" s="8" t="str">
        <f>VLOOKUP(B8,[1]Sheet2!A8:F125,6,FALSE)</f>
        <v>WMH</v>
      </c>
    </row>
    <row r="9" spans="1:7" ht="18" x14ac:dyDescent="0.25">
      <c r="A9" s="4">
        <v>8</v>
      </c>
      <c r="B9" s="4" t="s">
        <v>18</v>
      </c>
      <c r="C9" s="4" t="s">
        <v>8</v>
      </c>
      <c r="D9" s="4" t="s">
        <v>14</v>
      </c>
      <c r="E9" s="4">
        <v>20870006</v>
      </c>
      <c r="F9" s="4" t="str">
        <f>VLOOKUP(B9,[1]Sheet2!A9:I126,9,FALSE)</f>
        <v>Farah Zakiyah Rahmanti, S.ST., M.T.</v>
      </c>
      <c r="G9" s="8" t="str">
        <f>VLOOKUP(B9,[1]Sheet2!A9:F126,6,FALSE)</f>
        <v>FZK</v>
      </c>
    </row>
    <row r="10" spans="1:7" ht="18" x14ac:dyDescent="0.25">
      <c r="A10" s="4">
        <v>9</v>
      </c>
      <c r="B10" s="4" t="s">
        <v>19</v>
      </c>
      <c r="C10" s="4" t="s">
        <v>8</v>
      </c>
      <c r="D10" s="4" t="s">
        <v>14</v>
      </c>
      <c r="E10" s="4">
        <v>19790001</v>
      </c>
      <c r="F10" s="4" t="str">
        <f>VLOOKUP(B10,[1]Sheet2!A10:I127,9,FALSE)</f>
        <v>Dr. Helmy Widyantara, S.Kom., M.Eng.</v>
      </c>
      <c r="G10" s="8" t="str">
        <f>VLOOKUP(B10,[1]Sheet2!A10:F127,6,FALSE)</f>
        <v>CAP</v>
      </c>
    </row>
    <row r="11" spans="1:7" ht="18" x14ac:dyDescent="0.25">
      <c r="A11" s="4">
        <v>10</v>
      </c>
      <c r="B11" s="4" t="s">
        <v>20</v>
      </c>
      <c r="C11" s="4" t="s">
        <v>8</v>
      </c>
      <c r="D11" s="4" t="s">
        <v>21</v>
      </c>
      <c r="E11" s="4">
        <v>19870002</v>
      </c>
      <c r="F11" s="4" t="str">
        <f>VLOOKUP(B11,[1]Sheet2!A11:I128,9,FALSE)</f>
        <v>Wahyu Andy Prastyabudi, S.Kom., M.Sc.</v>
      </c>
      <c r="G11" s="8" t="str">
        <f>VLOOKUP(B11,[1]Sheet2!A11:F128,6,FALSE)</f>
        <v>WAY</v>
      </c>
    </row>
    <row r="12" spans="1:7" ht="18" x14ac:dyDescent="0.25">
      <c r="A12" s="4">
        <v>11</v>
      </c>
      <c r="B12" s="4" t="s">
        <v>22</v>
      </c>
      <c r="C12" s="4" t="s">
        <v>8</v>
      </c>
      <c r="D12" s="4" t="s">
        <v>23</v>
      </c>
      <c r="E12" s="4">
        <v>19870004</v>
      </c>
      <c r="F12" s="4" t="str">
        <f>VLOOKUP(B12,[1]Sheet2!A12:I129,9,FALSE)</f>
        <v>Fidi Wincoko Putro, S.ST., M.Kom.</v>
      </c>
      <c r="G12" s="8" t="str">
        <f>VLOOKUP(B12,[1]Sheet2!A12:F129,6,FALSE)</f>
        <v>FWP</v>
      </c>
    </row>
    <row r="13" spans="1:7" ht="18" x14ac:dyDescent="0.25">
      <c r="A13" s="4">
        <v>12</v>
      </c>
      <c r="B13" s="4" t="s">
        <v>24</v>
      </c>
      <c r="C13" s="4" t="s">
        <v>8</v>
      </c>
      <c r="D13" s="4" t="s">
        <v>14</v>
      </c>
      <c r="E13" s="4">
        <v>19940002</v>
      </c>
      <c r="F13" s="4" t="str">
        <f>VLOOKUP(B13,[1]Sheet2!A13:I130,9,FALSE)</f>
        <v>Philip Tobianto Daely, S.T., M.Eng., Ph.D.</v>
      </c>
      <c r="G13" s="8" t="str">
        <f>VLOOKUP(B13,[1]Sheet2!A13:F130,6,FALSE)</f>
        <v>PHI</v>
      </c>
    </row>
    <row r="14" spans="1:7" ht="18" x14ac:dyDescent="0.25">
      <c r="A14" s="4">
        <v>13</v>
      </c>
      <c r="B14" s="4" t="s">
        <v>25</v>
      </c>
      <c r="C14" s="4" t="s">
        <v>8</v>
      </c>
      <c r="D14" s="4" t="s">
        <v>11</v>
      </c>
      <c r="E14" s="4">
        <v>19920003</v>
      </c>
      <c r="F14" s="4" t="str">
        <f>VLOOKUP(B14,[1]Sheet2!A14:I131,9,FALSE)</f>
        <v>Anifatul Faricha, S.T., M.Sc., Ph.D</v>
      </c>
      <c r="G14" s="8" t="str">
        <f>VLOOKUP(B14,[1]Sheet2!A14:F131,6,FALSE)</f>
        <v>EVE</v>
      </c>
    </row>
    <row r="15" spans="1:7" ht="18" x14ac:dyDescent="0.25">
      <c r="A15" s="4">
        <v>14</v>
      </c>
      <c r="B15" s="4" t="s">
        <v>26</v>
      </c>
      <c r="C15" s="4" t="s">
        <v>8</v>
      </c>
      <c r="D15" s="4" t="s">
        <v>23</v>
      </c>
      <c r="E15" s="4">
        <v>19810001</v>
      </c>
      <c r="F15" s="4" t="str">
        <f>VLOOKUP(B15,[1]Sheet2!A15:I132,9,FALSE)</f>
        <v>Mohammad Sholik, S.Kom., M.Kom.</v>
      </c>
      <c r="G15" s="8" t="str">
        <f>VLOOKUP(B15,[1]Sheet2!A15:F132,6,FALSE)</f>
        <v>HHH</v>
      </c>
    </row>
    <row r="16" spans="1:7" ht="18" x14ac:dyDescent="0.25">
      <c r="A16" s="4">
        <v>15</v>
      </c>
      <c r="B16" s="4" t="s">
        <v>27</v>
      </c>
      <c r="C16" s="4" t="s">
        <v>8</v>
      </c>
      <c r="D16" s="4" t="s">
        <v>28</v>
      </c>
      <c r="E16" s="4">
        <v>19900002</v>
      </c>
      <c r="F16" s="4" t="str">
        <f>VLOOKUP(B16,[1]Sheet2!A16:I133,9,FALSE)</f>
        <v>Anfazul Faridatul Azizah, S.Kom., M.Kom.</v>
      </c>
      <c r="G16" s="8" t="str">
        <f>VLOOKUP(B16,[1]Sheet2!A16:F133,6,FALSE)</f>
        <v>AFC</v>
      </c>
    </row>
    <row r="17" spans="1:7" ht="18" x14ac:dyDescent="0.25">
      <c r="A17" s="4">
        <v>16</v>
      </c>
      <c r="B17" s="4" t="s">
        <v>29</v>
      </c>
      <c r="C17" s="4" t="s">
        <v>8</v>
      </c>
      <c r="D17" s="4" t="s">
        <v>9</v>
      </c>
      <c r="E17" s="4">
        <v>19900004</v>
      </c>
      <c r="F17" s="4" t="str">
        <f>VLOOKUP(B17,[1]Sheet2!A17:I134,9,FALSE)</f>
        <v>Hamzah Ulinuha Mustakim, S.T., M.T.</v>
      </c>
      <c r="G17" s="8" t="str">
        <f>VLOOKUP(B17,[1]Sheet2!A17:F134,6,FALSE)</f>
        <v>ZAH</v>
      </c>
    </row>
    <row r="18" spans="1:7" ht="18" x14ac:dyDescent="0.25">
      <c r="A18" s="4">
        <v>17</v>
      </c>
      <c r="B18" s="4" t="s">
        <v>30</v>
      </c>
      <c r="C18" s="4" t="s">
        <v>8</v>
      </c>
      <c r="D18" s="4" t="s">
        <v>31</v>
      </c>
      <c r="E18" s="4">
        <v>17910092</v>
      </c>
      <c r="F18" s="4" t="str">
        <f>VLOOKUP(B18,[1]Sheet2!A18:I135,9,FALSE)</f>
        <v>Mohamad Yani, S.ST., M.Phil., Ph.D.</v>
      </c>
      <c r="G18" s="8" t="str">
        <f>VLOOKUP(B18,[1]Sheet2!A18:F135,6,FALSE)</f>
        <v>MIX</v>
      </c>
    </row>
    <row r="19" spans="1:7" ht="18" x14ac:dyDescent="0.25">
      <c r="A19" s="4">
        <v>18</v>
      </c>
      <c r="B19" s="4" t="s">
        <v>32</v>
      </c>
      <c r="C19" s="4" t="s">
        <v>8</v>
      </c>
      <c r="D19" s="4" t="s">
        <v>9</v>
      </c>
      <c r="E19" s="4">
        <v>19940001</v>
      </c>
      <c r="F19" s="4" t="str">
        <f>VLOOKUP(B19,[1]Sheet2!A19:I136,9,FALSE)</f>
        <v>Muhsin, S.T., M.T., Ph. D.</v>
      </c>
      <c r="G19" s="8" t="str">
        <f>VLOOKUP(B19,[1]Sheet2!A19:F136,6,FALSE)</f>
        <v>MCN</v>
      </c>
    </row>
    <row r="20" spans="1:7" ht="23.25" customHeight="1" x14ac:dyDescent="0.25">
      <c r="A20" s="4">
        <v>19</v>
      </c>
      <c r="B20" s="4" t="s">
        <v>33</v>
      </c>
      <c r="C20" s="4" t="s">
        <v>8</v>
      </c>
      <c r="D20" s="4" t="s">
        <v>9</v>
      </c>
      <c r="E20" s="4">
        <v>25780004</v>
      </c>
      <c r="F20" s="4" t="str">
        <f>VLOOKUP(B20,[1]Sheet2!A20:I137,9,FALSE)</f>
        <v>Nilla Rachmaningrum, S.T., M.T.</v>
      </c>
      <c r="G20" s="8" t="str">
        <f>VLOOKUP(B20,[1]Sheet2!A20:F137,6,FALSE)</f>
        <v>NRR</v>
      </c>
    </row>
    <row r="21" spans="1:7" ht="21.75" hidden="1" customHeight="1" x14ac:dyDescent="0.25">
      <c r="A21" s="4">
        <v>20</v>
      </c>
      <c r="B21" s="4" t="s">
        <v>34</v>
      </c>
      <c r="C21" s="4" t="s">
        <v>35</v>
      </c>
      <c r="D21" s="4" t="s">
        <v>14</v>
      </c>
      <c r="E21" s="7">
        <v>19910003</v>
      </c>
      <c r="F21" s="4" t="str">
        <f>VLOOKUP(B21,[1]Sheet2!A21:I138,9,FALSE)</f>
        <v>Arliyanti Nurdin, S.T., M.T.</v>
      </c>
      <c r="G21" s="8" t="e">
        <f>VLOOKUP(B21,[1]Sheet2!A21:F138,6,FALSE)</f>
        <v>#N/A</v>
      </c>
    </row>
    <row r="22" spans="1:7" ht="18" x14ac:dyDescent="0.25">
      <c r="A22" s="4">
        <v>21</v>
      </c>
      <c r="B22" s="4" t="s">
        <v>36</v>
      </c>
      <c r="C22" s="4" t="s">
        <v>8</v>
      </c>
      <c r="D22" s="4" t="s">
        <v>28</v>
      </c>
      <c r="E22" s="4">
        <v>19900003</v>
      </c>
      <c r="F22" s="4" t="str">
        <f>VLOOKUP(B22,[1]Sheet2!A22:I139,9,FALSE)</f>
        <v>Noerma Pudji Istyanto, S.Kom., M.Kom.</v>
      </c>
      <c r="G22" s="8" t="str">
        <f>VLOOKUP(B22,[1]Sheet2!A22:F139,6,FALSE)</f>
        <v>NOE</v>
      </c>
    </row>
    <row r="23" spans="1:7" ht="18" x14ac:dyDescent="0.25">
      <c r="A23" s="4">
        <v>22</v>
      </c>
      <c r="B23" s="4" t="s">
        <v>37</v>
      </c>
      <c r="C23" s="4" t="s">
        <v>8</v>
      </c>
      <c r="D23" s="4" t="s">
        <v>11</v>
      </c>
      <c r="E23" s="4">
        <v>19920004</v>
      </c>
      <c r="F23" s="4" t="str">
        <f>VLOOKUP(B23,[1]Sheet2!A23:I140,9,FALSE)</f>
        <v>Lora Khaula Amifia, S.Pd., M.Eng.</v>
      </c>
      <c r="G23" s="8" t="str">
        <f>VLOOKUP(B23,[1]Sheet2!A23:F140,6,FALSE)</f>
        <v>KHL</v>
      </c>
    </row>
    <row r="24" spans="1:7" ht="18" x14ac:dyDescent="0.25">
      <c r="A24" s="4">
        <v>23</v>
      </c>
      <c r="B24" s="4" t="s">
        <v>38</v>
      </c>
      <c r="C24" s="4" t="s">
        <v>8</v>
      </c>
      <c r="D24" s="4" t="s">
        <v>28</v>
      </c>
      <c r="E24" s="4">
        <v>19900008</v>
      </c>
      <c r="F24" s="4" t="str">
        <f>VLOOKUP(B24,[1]Sheet2!A24:I141,9,FALSE)</f>
        <v>Ully Asfari, S.Kom., M.Kom.</v>
      </c>
      <c r="G24" s="8" t="str">
        <f>VLOOKUP(B24,[1]Sheet2!A24:F141,6,FALSE)</f>
        <v>ULF</v>
      </c>
    </row>
    <row r="25" spans="1:7" ht="18" x14ac:dyDescent="0.25">
      <c r="A25" s="4">
        <v>24</v>
      </c>
      <c r="B25" s="4" t="s">
        <v>39</v>
      </c>
      <c r="C25" s="4" t="s">
        <v>8</v>
      </c>
      <c r="D25" s="4" t="s">
        <v>31</v>
      </c>
      <c r="E25" s="4">
        <v>19880003</v>
      </c>
      <c r="F25" s="4" t="str">
        <f>VLOOKUP(B25,[1]Sheet2!A25:I142,9,FALSE)</f>
        <v>Ubaidillah Umar, S.ST., M.T.</v>
      </c>
      <c r="G25" s="8" t="str">
        <f>VLOOKUP(B25,[1]Sheet2!A25:F142,6,FALSE)</f>
        <v>UBM</v>
      </c>
    </row>
    <row r="26" spans="1:7" ht="18" x14ac:dyDescent="0.25">
      <c r="A26" s="4">
        <v>25</v>
      </c>
      <c r="B26" s="4" t="s">
        <v>40</v>
      </c>
      <c r="C26" s="4" t="s">
        <v>8</v>
      </c>
      <c r="D26" s="4" t="s">
        <v>14</v>
      </c>
      <c r="E26" s="4">
        <v>19900006</v>
      </c>
      <c r="F26" s="4" t="str">
        <f>VLOOKUP(B26,[1]Sheet2!A26:I143,9,FALSE)</f>
        <v>Oktavia Ayu Permata, S.T., M.T.</v>
      </c>
      <c r="G26" s="8" t="str">
        <f>VLOOKUP(B26,[1]Sheet2!A26:F143,6,FALSE)</f>
        <v>OAP</v>
      </c>
    </row>
    <row r="27" spans="1:7" ht="18" x14ac:dyDescent="0.25">
      <c r="A27" s="4">
        <v>26</v>
      </c>
      <c r="B27" s="4" t="s">
        <v>41</v>
      </c>
      <c r="C27" s="4" t="s">
        <v>8</v>
      </c>
      <c r="D27" s="4" t="s">
        <v>42</v>
      </c>
      <c r="E27" s="4">
        <v>19900005</v>
      </c>
      <c r="F27" s="4" t="str">
        <f>VLOOKUP(B27,[1]Sheet2!A27:I144,9,FALSE)</f>
        <v>Dominggo Bayu Baskara, S.T., M.MT.</v>
      </c>
      <c r="G27" s="8" t="str">
        <f>VLOOKUP(B27,[1]Sheet2!A27:F144,6,FALSE)</f>
        <v>DBB</v>
      </c>
    </row>
    <row r="28" spans="1:7" ht="18" x14ac:dyDescent="0.25">
      <c r="A28" s="4">
        <v>27</v>
      </c>
      <c r="B28" s="4" t="s">
        <v>43</v>
      </c>
      <c r="C28" s="4" t="s">
        <v>8</v>
      </c>
      <c r="D28" s="4" t="s">
        <v>23</v>
      </c>
      <c r="E28" s="4">
        <v>20870004</v>
      </c>
      <c r="F28" s="4" t="str">
        <f>VLOOKUP(B28,[1]Sheet2!A28:I145,9,FALSE)</f>
        <v>Billy Montolalu, S.Kom., M.Kom.</v>
      </c>
      <c r="G28" s="8" t="str">
        <f>VLOOKUP(B28,[1]Sheet2!A28:F145,6,FALSE)</f>
        <v>BLM</v>
      </c>
    </row>
    <row r="29" spans="1:7" ht="18" x14ac:dyDescent="0.25">
      <c r="A29" s="4">
        <v>28</v>
      </c>
      <c r="B29" s="4" t="s">
        <v>44</v>
      </c>
      <c r="C29" s="4" t="s">
        <v>8</v>
      </c>
      <c r="D29" s="4" t="s">
        <v>28</v>
      </c>
      <c r="E29" s="4">
        <v>20860017</v>
      </c>
      <c r="F29" s="4" t="str">
        <f>VLOOKUP(B29,[1]Sheet2!A29:I146,9,FALSE)</f>
        <v>Yupit Sudianto, S.Kom., M.Kom.</v>
      </c>
      <c r="G29" s="8" t="str">
        <f>VLOOKUP(B29,[1]Sheet2!A29:F146,6,FALSE)</f>
        <v>YPT</v>
      </c>
    </row>
    <row r="30" spans="1:7" ht="18" x14ac:dyDescent="0.25">
      <c r="A30" s="4">
        <v>29</v>
      </c>
      <c r="B30" s="4" t="s">
        <v>45</v>
      </c>
      <c r="C30" s="4" t="s">
        <v>8</v>
      </c>
      <c r="D30" s="4" t="s">
        <v>23</v>
      </c>
      <c r="E30" s="4">
        <v>20940001</v>
      </c>
      <c r="F30" s="4" t="str">
        <f>VLOOKUP(B30,[1]Sheet2!A30:I147,9,FALSE)</f>
        <v>Dr. Dewi Rahmawati, S.Kom., M.Kom.</v>
      </c>
      <c r="G30" s="8" t="str">
        <f>VLOOKUP(B30,[1]Sheet2!A30:F147,6,FALSE)</f>
        <v>DWX</v>
      </c>
    </row>
    <row r="31" spans="1:7" ht="18" x14ac:dyDescent="0.25">
      <c r="A31" s="4">
        <v>30</v>
      </c>
      <c r="B31" s="4" t="s">
        <v>46</v>
      </c>
      <c r="C31" s="4" t="s">
        <v>8</v>
      </c>
      <c r="D31" s="4" t="s">
        <v>31</v>
      </c>
      <c r="E31" s="4">
        <v>20930033</v>
      </c>
      <c r="F31" s="4" t="str">
        <f>VLOOKUP(B31,[1]Sheet2!A31:I148,9,FALSE)</f>
        <v>Ardiansyah Al Farouq, S.ST., M.T.</v>
      </c>
      <c r="G31" s="8" t="str">
        <f>VLOOKUP(B31,[1]Sheet2!A31:F148,6,FALSE)</f>
        <v>ADQ</v>
      </c>
    </row>
    <row r="32" spans="1:7" ht="18" x14ac:dyDescent="0.25">
      <c r="A32" s="4">
        <v>31</v>
      </c>
      <c r="B32" s="4" t="s">
        <v>47</v>
      </c>
      <c r="C32" s="4" t="s">
        <v>8</v>
      </c>
      <c r="D32" s="4" t="s">
        <v>48</v>
      </c>
      <c r="E32" s="4">
        <v>25920026</v>
      </c>
      <c r="F32" s="4" t="str">
        <f>VLOOKUP(B32,[1]Sheet2!A32:I149,9,FALSE)</f>
        <v>Ardian Yusuf Wicaksono, S.Kom., M.Kom.</v>
      </c>
      <c r="G32" s="8" t="str">
        <f>VLOOKUP(B32,[1]Sheet2!A32:F149,6,FALSE)</f>
        <v>CAK</v>
      </c>
    </row>
    <row r="33" spans="1:7" ht="18" x14ac:dyDescent="0.25">
      <c r="A33" s="4">
        <v>32</v>
      </c>
      <c r="B33" s="4" t="s">
        <v>49</v>
      </c>
      <c r="C33" s="4" t="s">
        <v>8</v>
      </c>
      <c r="D33" s="4" t="s">
        <v>21</v>
      </c>
      <c r="E33" s="4">
        <v>20920036</v>
      </c>
      <c r="F33" s="4" t="str">
        <f>VLOOKUP(B33,[1]Sheet2!A33:I150,9,FALSE)</f>
        <v>Rahaditya Dimas Prihadianto, S.T., M.T.</v>
      </c>
      <c r="G33" s="8" t="str">
        <f>VLOOKUP(B33,[1]Sheet2!A33:F150,6,FALSE)</f>
        <v>RDV</v>
      </c>
    </row>
    <row r="34" spans="1:7" ht="18" x14ac:dyDescent="0.25">
      <c r="A34" s="4">
        <v>33</v>
      </c>
      <c r="B34" s="4" t="s">
        <v>50</v>
      </c>
      <c r="C34" s="4" t="s">
        <v>8</v>
      </c>
      <c r="D34" s="4" t="s">
        <v>21</v>
      </c>
      <c r="E34" s="4">
        <v>20930036</v>
      </c>
      <c r="F34" s="4" t="str">
        <f>VLOOKUP(B34,[1]Sheet2!A34:I151,9,FALSE)</f>
        <v>Rizqa Amelia Zunaidi, S.T., M.T.</v>
      </c>
      <c r="G34" s="8" t="str">
        <f>VLOOKUP(B34,[1]Sheet2!A34:F151,6,FALSE)</f>
        <v>ZQA</v>
      </c>
    </row>
    <row r="35" spans="1:7" ht="18" x14ac:dyDescent="0.25">
      <c r="A35" s="4">
        <v>34</v>
      </c>
      <c r="B35" s="4" t="s">
        <v>51</v>
      </c>
      <c r="C35" s="4" t="s">
        <v>8</v>
      </c>
      <c r="D35" s="4" t="s">
        <v>42</v>
      </c>
      <c r="E35" s="4">
        <v>20860014</v>
      </c>
      <c r="F35" s="4" t="str">
        <f>VLOOKUP(B35,[1]Sheet2!A35:I152,9,FALSE)</f>
        <v>Titus Kristanto, S.Kom., M.Kom.</v>
      </c>
      <c r="G35" s="8" t="str">
        <f>VLOOKUP(B35,[1]Sheet2!A35:F152,6,FALSE)</f>
        <v>TTK</v>
      </c>
    </row>
    <row r="36" spans="1:7" ht="18" x14ac:dyDescent="0.25">
      <c r="A36" s="4">
        <v>35</v>
      </c>
      <c r="B36" s="4" t="s">
        <v>52</v>
      </c>
      <c r="C36" s="4" t="s">
        <v>8</v>
      </c>
      <c r="D36" s="4" t="s">
        <v>31</v>
      </c>
      <c r="E36" s="4">
        <v>20830012</v>
      </c>
      <c r="F36" s="4" t="str">
        <f>VLOOKUP(B36,[1]Sheet2!A36:I153,9,FALSE)</f>
        <v>Pangestu Widodo, S.T., M.Kom.</v>
      </c>
      <c r="G36" s="8" t="str">
        <f>VLOOKUP(B36,[1]Sheet2!A36:F153,6,FALSE)</f>
        <v>PNG</v>
      </c>
    </row>
    <row r="37" spans="1:7" ht="18" x14ac:dyDescent="0.25">
      <c r="A37" s="4">
        <v>36</v>
      </c>
      <c r="B37" s="4" t="s">
        <v>53</v>
      </c>
      <c r="C37" s="4" t="s">
        <v>8</v>
      </c>
      <c r="D37" s="4" t="s">
        <v>54</v>
      </c>
      <c r="E37" s="4">
        <v>19900001</v>
      </c>
      <c r="F37" s="4" t="str">
        <f>VLOOKUP(B37,[1]Sheet2!A37:I154,9,FALSE)</f>
        <v>Abduh Sayid Albana, S.T., M.T., M.Sc., Ph.D.</v>
      </c>
      <c r="G37" s="8" t="str">
        <f>VLOOKUP(B37,[1]Sheet2!A37:F154,6,FALSE)</f>
        <v>EXE</v>
      </c>
    </row>
    <row r="38" spans="1:7" ht="18" x14ac:dyDescent="0.25">
      <c r="A38" s="4">
        <v>37</v>
      </c>
      <c r="B38" s="4" t="s">
        <v>55</v>
      </c>
      <c r="C38" s="4" t="s">
        <v>8</v>
      </c>
      <c r="D38" s="4" t="s">
        <v>28</v>
      </c>
      <c r="E38" s="4">
        <v>20920039</v>
      </c>
      <c r="F38" s="4" t="str">
        <f>VLOOKUP(B38,[1]Sheet2!A38:I155,9,FALSE)</f>
        <v>Hawwin Mardhiana, S.Kom., M.Kom.</v>
      </c>
      <c r="G38" s="8" t="str">
        <f>VLOOKUP(B38,[1]Sheet2!A38:F155,6,FALSE)</f>
        <v>MAE</v>
      </c>
    </row>
    <row r="39" spans="1:7" ht="18" x14ac:dyDescent="0.25">
      <c r="A39" s="4">
        <v>38</v>
      </c>
      <c r="B39" s="4" t="s">
        <v>56</v>
      </c>
      <c r="C39" s="4" t="s">
        <v>8</v>
      </c>
      <c r="D39" s="4" t="s">
        <v>21</v>
      </c>
      <c r="E39" s="4">
        <v>20930043</v>
      </c>
      <c r="F39" s="4" t="str">
        <f>VLOOKUP(B39,[1]Sheet2!A39:I156,9,FALSE)</f>
        <v>Benazir Imam Arif Muttaqin, S.T., M.T.</v>
      </c>
      <c r="G39" s="8" t="str">
        <f>VLOOKUP(B39,[1]Sheet2!A39:F156,6,FALSE)</f>
        <v>BIA</v>
      </c>
    </row>
    <row r="40" spans="1:7" ht="23.25" customHeight="1" x14ac:dyDescent="0.25">
      <c r="A40" s="4">
        <v>39</v>
      </c>
      <c r="B40" s="4" t="s">
        <v>57</v>
      </c>
      <c r="C40" s="4" t="s">
        <v>8</v>
      </c>
      <c r="D40" s="4" t="s">
        <v>14</v>
      </c>
      <c r="E40" s="4">
        <v>23929009</v>
      </c>
      <c r="F40" s="4" t="str">
        <f>VLOOKUP(B40,[1]Sheet2!A40:I157,9,FALSE)</f>
        <v>Bernadus Anggo Seno Aji, S.Kom., M.Kom.</v>
      </c>
      <c r="G40" s="8" t="str">
        <f>VLOOKUP(B40,[1]Sheet2!A40:F157,6,FALSE)</f>
        <v>BOS</v>
      </c>
    </row>
    <row r="41" spans="1:7" ht="18" x14ac:dyDescent="0.25">
      <c r="A41" s="4">
        <v>40</v>
      </c>
      <c r="B41" s="4" t="s">
        <v>58</v>
      </c>
      <c r="C41" s="4" t="s">
        <v>8</v>
      </c>
      <c r="D41" s="4" t="s">
        <v>28</v>
      </c>
      <c r="E41" s="4">
        <v>23890011</v>
      </c>
      <c r="F41" s="4" t="str">
        <f>VLOOKUP(B41,[1]Sheet2!A41:I158,9,FALSE)</f>
        <v>Rokhmatul Insani, S.T., M.T.</v>
      </c>
      <c r="G41" s="8" t="str">
        <f>VLOOKUP(B41,[1]Sheet2!A41:F158,6,FALSE)</f>
        <v>RTL</v>
      </c>
    </row>
    <row r="42" spans="1:7" ht="18" x14ac:dyDescent="0.25">
      <c r="A42" s="4">
        <v>41</v>
      </c>
      <c r="B42" s="4" t="s">
        <v>59</v>
      </c>
      <c r="C42" s="4" t="s">
        <v>8</v>
      </c>
      <c r="D42" s="4" t="s">
        <v>28</v>
      </c>
      <c r="E42" s="4">
        <v>19750005</v>
      </c>
      <c r="F42" s="4" t="str">
        <f>VLOOKUP(B42,[1]Sheet2!A42:I159,9,FALSE)</f>
        <v>Agus Sulistya, S.T., M.Sc., Ph.D</v>
      </c>
      <c r="G42" s="8" t="str">
        <f>VLOOKUP(B42,[1]Sheet2!A42:F159,6,FALSE)</f>
        <v>AGX</v>
      </c>
    </row>
    <row r="43" spans="1:7" ht="18" x14ac:dyDescent="0.25">
      <c r="A43" s="4">
        <v>42</v>
      </c>
      <c r="B43" s="4" t="s">
        <v>60</v>
      </c>
      <c r="C43" s="4" t="s">
        <v>8</v>
      </c>
      <c r="D43" s="4" t="s">
        <v>9</v>
      </c>
      <c r="E43" s="4">
        <v>20910025</v>
      </c>
      <c r="F43" s="4" t="str">
        <f>VLOOKUP(B43,[1]Sheet2!A43:I160,9,FALSE)</f>
        <v>Risdilah Mimma Untsa, S.ST., M.T.</v>
      </c>
      <c r="G43" s="8" t="str">
        <f>VLOOKUP(B43,[1]Sheet2!A43:F160,6,FALSE)</f>
        <v>RLL</v>
      </c>
    </row>
    <row r="44" spans="1:7" ht="18" x14ac:dyDescent="0.25">
      <c r="A44" s="4">
        <v>43</v>
      </c>
      <c r="B44" s="4" t="s">
        <v>61</v>
      </c>
      <c r="C44" s="4" t="s">
        <v>8</v>
      </c>
      <c r="D44" s="4" t="s">
        <v>31</v>
      </c>
      <c r="E44" s="4">
        <v>22730002</v>
      </c>
      <c r="F44" s="4" t="str">
        <f>VLOOKUP(B44,[1]Sheet2!A44:I161,9,FALSE)</f>
        <v>Dr. Susijanto Tri Rasmana, S.Kom., M.T.</v>
      </c>
      <c r="G44" s="8" t="str">
        <f>VLOOKUP(B44,[1]Sheet2!A44:F161,6,FALSE)</f>
        <v>SUZ</v>
      </c>
    </row>
    <row r="45" spans="1:7" ht="18" x14ac:dyDescent="0.25">
      <c r="A45" s="4">
        <v>44</v>
      </c>
      <c r="B45" s="4" t="s">
        <v>62</v>
      </c>
      <c r="C45" s="4" t="s">
        <v>8</v>
      </c>
      <c r="D45" s="4" t="s">
        <v>21</v>
      </c>
      <c r="E45" s="4">
        <v>23880010</v>
      </c>
      <c r="F45" s="4" t="str">
        <f>VLOOKUP(B45,[1]Sheet2!A45:I162,9,FALSE)</f>
        <v>Ayu Endah Wahyuni, S.T., M.T.</v>
      </c>
      <c r="G45" s="8" t="str">
        <f>VLOOKUP(B45,[1]Sheet2!A45:F162,6,FALSE)</f>
        <v>AYV</v>
      </c>
    </row>
    <row r="46" spans="1:7" ht="18" x14ac:dyDescent="0.25">
      <c r="A46" s="4">
        <v>45</v>
      </c>
      <c r="B46" s="4" t="s">
        <v>63</v>
      </c>
      <c r="C46" s="4" t="s">
        <v>8</v>
      </c>
      <c r="D46" s="4" t="s">
        <v>28</v>
      </c>
      <c r="E46" s="4">
        <v>23900009</v>
      </c>
      <c r="F46" s="4" t="str">
        <f>VLOOKUP(B46,[1]Sheet2!A46:I163,9,FALSE)</f>
        <v>Muhamad Nasrullah, S.Kom., M.Kom.</v>
      </c>
      <c r="G46" s="8" t="str">
        <f>VLOOKUP(B46,[1]Sheet2!A46:F163,6,FALSE)</f>
        <v>RLH</v>
      </c>
    </row>
    <row r="47" spans="1:7" ht="18" x14ac:dyDescent="0.25">
      <c r="A47" s="4">
        <v>46</v>
      </c>
      <c r="B47" s="4" t="s">
        <v>64</v>
      </c>
      <c r="C47" s="4" t="s">
        <v>8</v>
      </c>
      <c r="D47" s="4" t="s">
        <v>42</v>
      </c>
      <c r="E47" s="4">
        <v>24930005</v>
      </c>
      <c r="F47" s="4" t="str">
        <f>VLOOKUP(B47,[1]Sheet2!A47:I164,9,FALSE)</f>
        <v>Sekar Widyasari Putri, S.A.B., M.Si.</v>
      </c>
      <c r="G47" s="8" t="str">
        <f>VLOOKUP(B47,[1]Sheet2!A47:F164,6,FALSE)</f>
        <v>SSQ</v>
      </c>
    </row>
    <row r="48" spans="1:7" ht="18" hidden="1" x14ac:dyDescent="0.25">
      <c r="A48" s="4">
        <v>47</v>
      </c>
      <c r="B48" s="4" t="s">
        <v>65</v>
      </c>
      <c r="C48" s="4" t="s">
        <v>35</v>
      </c>
      <c r="D48" s="4" t="s">
        <v>42</v>
      </c>
      <c r="E48" s="4">
        <v>20940041</v>
      </c>
      <c r="F48" s="4" t="str">
        <f>VLOOKUP(B48,[1]Sheet2!A48:I165,9,FALSE)</f>
        <v>Riza Akhsani Setyo Prayoga, S.Kom., M.MT.</v>
      </c>
      <c r="G48" s="8" t="str">
        <f>VLOOKUP(B48,[1]Sheet2!A48:F165,6,FALSE)</f>
        <v>OGA</v>
      </c>
    </row>
    <row r="49" spans="1:7" ht="18" x14ac:dyDescent="0.25">
      <c r="A49" s="4">
        <v>48</v>
      </c>
      <c r="B49" s="4" t="s">
        <v>66</v>
      </c>
      <c r="C49" s="4" t="s">
        <v>8</v>
      </c>
      <c r="D49" s="4" t="s">
        <v>48</v>
      </c>
      <c r="E49" s="4">
        <v>25950031</v>
      </c>
      <c r="F49" s="4" t="str">
        <f>VLOOKUP(B49,[1]Sheet2!A49:I166,9,FALSE)</f>
        <v>Ahmad Wali Satria Bahari Johan, S.ST., M.Kom.</v>
      </c>
      <c r="G49" s="8" t="str">
        <f>VLOOKUP(B49,[1]Sheet2!A49:F166,6,FALSE)</f>
        <v>AWQ</v>
      </c>
    </row>
    <row r="50" spans="1:7" ht="18" x14ac:dyDescent="0.25">
      <c r="A50" s="4">
        <v>49</v>
      </c>
      <c r="B50" s="4" t="s">
        <v>67</v>
      </c>
      <c r="C50" s="4" t="s">
        <v>8</v>
      </c>
      <c r="D50" s="4" t="s">
        <v>48</v>
      </c>
      <c r="E50" s="4">
        <v>25940031</v>
      </c>
      <c r="F50" s="4" t="str">
        <f>VLOOKUP(B50,[1]Sheet2!A50:I167,9,FALSE)</f>
        <v>Muhammad Dzulfikar Fauzi, S.Kom., M.Cs.</v>
      </c>
      <c r="G50" s="8" t="str">
        <f>VLOOKUP(B50,[1]Sheet2!A50:F167,6,FALSE)</f>
        <v>MDX</v>
      </c>
    </row>
    <row r="51" spans="1:7" ht="18" x14ac:dyDescent="0.25">
      <c r="A51" s="4">
        <v>50</v>
      </c>
      <c r="B51" s="4" t="s">
        <v>68</v>
      </c>
      <c r="C51" s="4" t="s">
        <v>8</v>
      </c>
      <c r="D51" s="4" t="s">
        <v>48</v>
      </c>
      <c r="E51" s="4">
        <v>23950024</v>
      </c>
      <c r="F51" s="4" t="str">
        <f>VLOOKUP(B51,[1]Sheet2!A51:I168,9,FALSE)</f>
        <v>Kharisma Monika Dian Pertiwi, S.Kom., M.Kom.</v>
      </c>
      <c r="G51" s="8" t="str">
        <f>VLOOKUP(B51,[1]Sheet2!A51:F168,6,FALSE)</f>
        <v>KMP</v>
      </c>
    </row>
    <row r="52" spans="1:7" ht="18" x14ac:dyDescent="0.25">
      <c r="A52" s="4">
        <v>51</v>
      </c>
      <c r="B52" s="4" t="s">
        <v>69</v>
      </c>
      <c r="C52" s="4" t="s">
        <v>8</v>
      </c>
      <c r="D52" s="4" t="s">
        <v>48</v>
      </c>
      <c r="E52" s="4">
        <v>25970012</v>
      </c>
      <c r="F52" s="4" t="str">
        <f>VLOOKUP(B52,[1]Sheet2!A52:I169,9,FALSE)</f>
        <v>Rizky Fenaldo Maulana, S.Kom., M.Kom.</v>
      </c>
      <c r="G52" s="8" t="str">
        <f>VLOOKUP(B52,[1]Sheet2!A52:F169,6,FALSE)</f>
        <v>RZO</v>
      </c>
    </row>
    <row r="53" spans="1:7" ht="18" x14ac:dyDescent="0.25">
      <c r="A53" s="4">
        <v>52</v>
      </c>
      <c r="B53" s="4" t="s">
        <v>70</v>
      </c>
      <c r="C53" s="4" t="s">
        <v>8</v>
      </c>
      <c r="D53" s="4" t="s">
        <v>71</v>
      </c>
      <c r="E53" s="4">
        <v>25940030</v>
      </c>
      <c r="F53" s="4" t="str">
        <f>VLOOKUP(B53,[1]Sheet2!A53:I170,9,FALSE)</f>
        <v>Amalia Nur Alifah, S.Si., M.Si.</v>
      </c>
      <c r="G53" s="8" t="str">
        <f>VLOOKUP(B53,[1]Sheet2!A53:F170,6,FALSE)</f>
        <v>MAC</v>
      </c>
    </row>
    <row r="54" spans="1:7" ht="18" hidden="1" x14ac:dyDescent="0.25">
      <c r="A54" s="4">
        <v>53</v>
      </c>
      <c r="B54" s="4" t="s">
        <v>72</v>
      </c>
      <c r="C54" s="4" t="s">
        <v>35</v>
      </c>
      <c r="D54" s="4" t="s">
        <v>71</v>
      </c>
      <c r="E54" s="4">
        <v>23950026</v>
      </c>
      <c r="F54" s="4" t="str">
        <f>VLOOKUP(B54,[1]Sheet2!A54:I171,9,FALSE)</f>
        <v>Dr. Helisyah Nur Fadhilah, S.Si., M.Mat.</v>
      </c>
      <c r="G54" s="8" t="str">
        <f>VLOOKUP(B54,[1]Sheet2!A54:F171,6,FALSE)</f>
        <v>HEF</v>
      </c>
    </row>
    <row r="55" spans="1:7" ht="18" x14ac:dyDescent="0.25">
      <c r="A55" s="4">
        <v>54</v>
      </c>
      <c r="B55" s="4" t="s">
        <v>73</v>
      </c>
      <c r="C55" s="4" t="s">
        <v>8</v>
      </c>
      <c r="D55" s="4" t="s">
        <v>71</v>
      </c>
      <c r="E55" s="4">
        <v>23950023</v>
      </c>
      <c r="F55" s="4" t="str">
        <f>VLOOKUP(B55,[1]Sheet2!A55:I172,9,FALSE)</f>
        <v>Moh. Hamim Zajuli Al Faroby, S.Si., M.Mat.</v>
      </c>
      <c r="G55" s="8" t="str">
        <f>VLOOKUP(B55,[1]Sheet2!A55:F172,6,FALSE)</f>
        <v>OBY</v>
      </c>
    </row>
    <row r="56" spans="1:7" ht="18" hidden="1" x14ac:dyDescent="0.25">
      <c r="A56" s="4">
        <v>55</v>
      </c>
      <c r="B56" s="4" t="s">
        <v>74</v>
      </c>
      <c r="C56" s="4" t="s">
        <v>35</v>
      </c>
      <c r="D56" s="4" t="s">
        <v>54</v>
      </c>
      <c r="E56" s="7">
        <v>20940045</v>
      </c>
      <c r="F56" s="4" t="str">
        <f>VLOOKUP(B56,[1]Sheet2!A56:I173,9,FALSE)</f>
        <v>Ahmad Faisal Dahlan, S.T., M.Eng.</v>
      </c>
      <c r="G56" s="8" t="str">
        <f>VLOOKUP(B56,[1]Sheet2!A56:F173,6,FALSE)</f>
        <v>AFX</v>
      </c>
    </row>
    <row r="57" spans="1:7" ht="18" x14ac:dyDescent="0.25">
      <c r="A57" s="4">
        <v>56</v>
      </c>
      <c r="B57" s="4" t="s">
        <v>75</v>
      </c>
      <c r="C57" s="4" t="s">
        <v>8</v>
      </c>
      <c r="D57" s="4" t="s">
        <v>54</v>
      </c>
      <c r="E57" s="4">
        <v>25930030</v>
      </c>
      <c r="F57" s="4" t="str">
        <f>VLOOKUP(B57,[1]Sheet2!A57:I174,9,FALSE)</f>
        <v>Desita Nur Rachmaniar, S.T., M.Sc.</v>
      </c>
      <c r="G57" s="8" t="str">
        <f>VLOOKUP(B57,[1]Sheet2!A57:F174,6,FALSE)</f>
        <v>DEZ</v>
      </c>
    </row>
    <row r="58" spans="1:7" ht="18" x14ac:dyDescent="0.25">
      <c r="A58" s="4">
        <v>57</v>
      </c>
      <c r="B58" s="4" t="s">
        <v>76</v>
      </c>
      <c r="C58" s="4" t="s">
        <v>8</v>
      </c>
      <c r="D58" s="4" t="s">
        <v>54</v>
      </c>
      <c r="E58" s="4">
        <v>24950003</v>
      </c>
      <c r="F58" s="4" t="str">
        <f>VLOOKUP(B58,[1]Sheet2!A58:I175,9,FALSE)</f>
        <v>Granita Hajar, S.T., M.T.</v>
      </c>
      <c r="G58" s="8" t="str">
        <f>VLOOKUP(B58,[1]Sheet2!A58:F175,6,FALSE)</f>
        <v>GRN</v>
      </c>
    </row>
    <row r="59" spans="1:7" ht="18" x14ac:dyDescent="0.25">
      <c r="A59" s="4">
        <v>58</v>
      </c>
      <c r="B59" s="4" t="s">
        <v>77</v>
      </c>
      <c r="C59" s="4" t="s">
        <v>8</v>
      </c>
      <c r="D59" s="4" t="s">
        <v>54</v>
      </c>
      <c r="E59" s="4">
        <v>25930031</v>
      </c>
      <c r="F59" s="4" t="str">
        <f>VLOOKUP(B59,[1]Sheet2!A59:I176,9,FALSE)</f>
        <v>Nisa Isrofi, S.T., M.T.</v>
      </c>
      <c r="G59" s="8" t="str">
        <f>VLOOKUP(B59,[1]Sheet2!A59:F176,6,FALSE)</f>
        <v>NSX</v>
      </c>
    </row>
    <row r="60" spans="1:7" ht="18" x14ac:dyDescent="0.25">
      <c r="A60" s="4">
        <v>59</v>
      </c>
      <c r="B60" s="4" t="s">
        <v>78</v>
      </c>
      <c r="C60" s="4" t="s">
        <v>8</v>
      </c>
      <c r="D60" s="4" t="s">
        <v>9</v>
      </c>
      <c r="E60" s="9">
        <v>25910023</v>
      </c>
      <c r="F60" s="4" t="str">
        <f>VLOOKUP(B60,[1]Sheet2!A60:I177,9,FALSE)</f>
        <v>Dr. Fannush Shofi Akbar, S.ST.</v>
      </c>
      <c r="G60" s="8" t="str">
        <f>VLOOKUP(B60,[1]Sheet2!A60:F177,6,FALSE)</f>
        <v>FSX</v>
      </c>
    </row>
    <row r="61" spans="1:7" ht="18" hidden="1" x14ac:dyDescent="0.25">
      <c r="A61" s="4">
        <v>60</v>
      </c>
      <c r="B61" s="4" t="s">
        <v>79</v>
      </c>
      <c r="C61" s="4" t="s">
        <v>35</v>
      </c>
      <c r="D61" s="4" t="s">
        <v>31</v>
      </c>
      <c r="E61" s="10">
        <v>23910011</v>
      </c>
      <c r="F61" s="10" t="str">
        <f>VLOOKUP(B61,[1]Sheet2!A61:I178,9,FALSE)</f>
        <v>Aulia Rahma Annisa, S.ST., M.T.</v>
      </c>
      <c r="G61" s="8" t="str">
        <f>VLOOKUP(B61,[1]Sheet2!A61:F178,6,FALSE)</f>
        <v>AUV</v>
      </c>
    </row>
    <row r="62" spans="1:7" ht="18" x14ac:dyDescent="0.25">
      <c r="A62" s="4">
        <v>61</v>
      </c>
      <c r="B62" s="4" t="s">
        <v>80</v>
      </c>
      <c r="C62" s="4" t="s">
        <v>8</v>
      </c>
      <c r="D62" s="4" t="s">
        <v>28</v>
      </c>
      <c r="E62" s="4">
        <v>21890010</v>
      </c>
      <c r="F62" s="4" t="str">
        <f>VLOOKUP(B62,[1]Sheet2!A62:I179,9,FALSE)</f>
        <v>Aris Kusumawati, S.Kom., M.Kom.</v>
      </c>
      <c r="G62" s="8" t="str">
        <f>VLOOKUP(B62,[1]Sheet2!A62:F179,6,FALSE)</f>
        <v>KUZ</v>
      </c>
    </row>
    <row r="63" spans="1:7" ht="16.5" customHeight="1" x14ac:dyDescent="0.25">
      <c r="A63" s="4">
        <v>62</v>
      </c>
      <c r="B63" s="4" t="s">
        <v>81</v>
      </c>
      <c r="C63" s="4" t="s">
        <v>8</v>
      </c>
      <c r="D63" s="4" t="s">
        <v>28</v>
      </c>
      <c r="E63" s="4">
        <v>21910012</v>
      </c>
      <c r="F63" s="4" t="str">
        <f>VLOOKUP(B63,[1]Sheet2!A63:I180,9,FALSE)</f>
        <v>Mochamad Nizar Palefi Ma'ady, S.Kom., M.Kom., M.IM.</v>
      </c>
      <c r="G63" s="8" t="str">
        <f>VLOOKUP(B63,[1]Sheet2!A63:F180,6,FALSE)</f>
        <v>NZR</v>
      </c>
    </row>
    <row r="64" spans="1:7" ht="18" x14ac:dyDescent="0.25">
      <c r="A64" s="4">
        <v>63</v>
      </c>
      <c r="B64" s="4" t="s">
        <v>82</v>
      </c>
      <c r="C64" s="4" t="s">
        <v>8</v>
      </c>
      <c r="D64" s="4" t="s">
        <v>28</v>
      </c>
      <c r="E64" s="4">
        <v>21870007</v>
      </c>
      <c r="F64" s="4" t="str">
        <f>VLOOKUP(B64,[1]Sheet2!A64:I181,9,FALSE)</f>
        <v>Purnama Anaking, S.Kom., M.Kom.</v>
      </c>
      <c r="G64" s="8" t="str">
        <f>VLOOKUP(B64,[1]Sheet2!A64:F181,6,FALSE)</f>
        <v>PAK</v>
      </c>
    </row>
    <row r="65" spans="1:7" ht="18" x14ac:dyDescent="0.25">
      <c r="A65" s="4">
        <v>64</v>
      </c>
      <c r="B65" s="4" t="s">
        <v>83</v>
      </c>
      <c r="C65" s="4" t="s">
        <v>8</v>
      </c>
      <c r="D65" s="4" t="s">
        <v>9</v>
      </c>
      <c r="E65" s="4">
        <v>22960009</v>
      </c>
      <c r="F65" s="4" t="str">
        <f>VLOOKUP(B65,[1]Sheet2!A65:I182,9,FALSE)</f>
        <v>Arrizky Ayu Faradila Purnama, S.T., M.T.</v>
      </c>
      <c r="G65" s="8" t="str">
        <f>VLOOKUP(B65,[1]Sheet2!A65:F182,6,FALSE)</f>
        <v>KYA</v>
      </c>
    </row>
    <row r="66" spans="1:7" ht="18" x14ac:dyDescent="0.25">
      <c r="A66" s="4">
        <v>65</v>
      </c>
      <c r="B66" s="4" t="s">
        <v>84</v>
      </c>
      <c r="C66" s="4" t="s">
        <v>8</v>
      </c>
      <c r="D66" s="4" t="s">
        <v>71</v>
      </c>
      <c r="E66" s="4">
        <v>22960008</v>
      </c>
      <c r="F66" s="4" t="str">
        <f>VLOOKUP(B66,[1]Sheet2!A66:I183,9,FALSE)</f>
        <v>Regita Putri Permata, S.Stat., M.Stat.</v>
      </c>
      <c r="G66" s="8" t="str">
        <f>VLOOKUP(B66,[1]Sheet2!A66:F183,6,FALSE)</f>
        <v>GIT</v>
      </c>
    </row>
    <row r="67" spans="1:7" ht="18" x14ac:dyDescent="0.25">
      <c r="A67" s="4">
        <v>66</v>
      </c>
      <c r="B67" s="4" t="s">
        <v>85</v>
      </c>
      <c r="C67" s="4" t="s">
        <v>8</v>
      </c>
      <c r="D67" s="4" t="s">
        <v>71</v>
      </c>
      <c r="E67" s="4">
        <v>22900008</v>
      </c>
      <c r="F67" s="4" t="str">
        <f>VLOOKUP(B67,[1]Sheet2!A67:I184,9,FALSE)</f>
        <v>Rifdatun Ni'mah, S.Si., M.Si.</v>
      </c>
      <c r="G67" s="8" t="str">
        <f>VLOOKUP(B67,[1]Sheet2!A67:F184,6,FALSE)</f>
        <v>NIC</v>
      </c>
    </row>
    <row r="68" spans="1:7" ht="18" hidden="1" x14ac:dyDescent="0.25">
      <c r="A68" s="4">
        <v>67</v>
      </c>
      <c r="B68" s="4" t="s">
        <v>86</v>
      </c>
      <c r="C68" s="4" t="s">
        <v>35</v>
      </c>
      <c r="D68" s="4" t="s">
        <v>9</v>
      </c>
      <c r="E68" s="7">
        <v>22910003</v>
      </c>
      <c r="F68" s="4" t="str">
        <f>VLOOKUP(B68,[1]Sheet2!A68:I185,9,FALSE)</f>
        <v>Rifa Atul Izza Asyari, S.T., M.Sc.</v>
      </c>
      <c r="G68" s="8" t="str">
        <f>VLOOKUP(B68,[1]Sheet2!A68:F185,6,FALSE)</f>
        <v>RFX</v>
      </c>
    </row>
    <row r="69" spans="1:7" ht="18" x14ac:dyDescent="0.25">
      <c r="A69" s="4">
        <v>68</v>
      </c>
      <c r="B69" s="4" t="s">
        <v>87</v>
      </c>
      <c r="C69" s="4" t="s">
        <v>8</v>
      </c>
      <c r="D69" s="4" t="s">
        <v>14</v>
      </c>
      <c r="E69" s="4">
        <v>22970007</v>
      </c>
      <c r="F69" s="4" t="str">
        <f>VLOOKUP(B69,[1]Sheet2!A69:I186,9,FALSE)</f>
        <v>Muhammad Adib Kamali, S.T., M.Eng.</v>
      </c>
      <c r="G69" s="8" t="str">
        <f>VLOOKUP(B69,[1]Sheet2!A69:F186,6,FALSE)</f>
        <v>MDB</v>
      </c>
    </row>
    <row r="70" spans="1:7" ht="18" x14ac:dyDescent="0.25">
      <c r="A70" s="4">
        <v>69</v>
      </c>
      <c r="B70" s="4" t="s">
        <v>88</v>
      </c>
      <c r="C70" s="4" t="s">
        <v>8</v>
      </c>
      <c r="D70" s="4" t="s">
        <v>28</v>
      </c>
      <c r="E70" s="4">
        <v>22940003</v>
      </c>
      <c r="F70" s="4" t="str">
        <f>VLOOKUP(B70,[1]Sheet2!A70:I187,9,FALSE)</f>
        <v>Raulia Riski, S.Kom., M.Kom., M.M.S.</v>
      </c>
      <c r="G70" s="8" t="str">
        <f>VLOOKUP(B70,[1]Sheet2!A70:F187,6,FALSE)</f>
        <v>IKI</v>
      </c>
    </row>
    <row r="71" spans="1:7" ht="18" x14ac:dyDescent="0.25">
      <c r="A71" s="4">
        <v>70</v>
      </c>
      <c r="B71" s="4" t="s">
        <v>89</v>
      </c>
      <c r="C71" s="4" t="s">
        <v>8</v>
      </c>
      <c r="D71" s="4" t="s">
        <v>71</v>
      </c>
      <c r="E71" s="4">
        <v>22930003</v>
      </c>
      <c r="F71" s="4" t="str">
        <f>VLOOKUP(B71,[1]Sheet2!A71:I188,9,FALSE)</f>
        <v>Sri Hidayati, S.Si., M.Stat.</v>
      </c>
      <c r="G71" s="8" t="str">
        <f>VLOOKUP(B71,[1]Sheet2!A71:F188,6,FALSE)</f>
        <v>SRX</v>
      </c>
    </row>
    <row r="72" spans="1:7" ht="18" hidden="1" x14ac:dyDescent="0.25">
      <c r="A72" s="4">
        <v>71</v>
      </c>
      <c r="B72" s="4" t="s">
        <v>90</v>
      </c>
      <c r="C72" s="4" t="s">
        <v>35</v>
      </c>
      <c r="D72" s="4" t="s">
        <v>14</v>
      </c>
      <c r="E72" s="7">
        <v>22910002</v>
      </c>
      <c r="F72" s="4" t="str">
        <f>VLOOKUP(B72,[1]Sheet2!A72:I189,9,FALSE)</f>
        <v>Fauzan Nusyura, S.T., M.T.</v>
      </c>
      <c r="G72" s="8" t="str">
        <f>VLOOKUP(B72,[1]Sheet2!A72:F189,6,FALSE)</f>
        <v>FZS</v>
      </c>
    </row>
    <row r="73" spans="1:7" ht="18" x14ac:dyDescent="0.25">
      <c r="A73" s="4">
        <v>72</v>
      </c>
      <c r="B73" s="4" t="s">
        <v>91</v>
      </c>
      <c r="C73" s="4" t="s">
        <v>8</v>
      </c>
      <c r="D73" s="4" t="s">
        <v>42</v>
      </c>
      <c r="E73" s="4">
        <v>15890076</v>
      </c>
      <c r="F73" s="4" t="str">
        <f>VLOOKUP(B73,[1]Sheet2!A73:I190,9,FALSE)</f>
        <v>Caesareano Lafado Yesa, S.M.B., M.M.</v>
      </c>
      <c r="G73" s="8" t="str">
        <f>VLOOKUP(B73,[1]Sheet2!A73:F190,6,FALSE)</f>
        <v>CNO</v>
      </c>
    </row>
    <row r="74" spans="1:7" ht="18" x14ac:dyDescent="0.25">
      <c r="A74" s="4">
        <v>73</v>
      </c>
      <c r="B74" s="4" t="s">
        <v>92</v>
      </c>
      <c r="C74" s="4" t="s">
        <v>8</v>
      </c>
      <c r="D74" s="4" t="s">
        <v>23</v>
      </c>
      <c r="E74" s="4">
        <v>23850011</v>
      </c>
      <c r="F74" s="4" t="str">
        <f>VLOOKUP(B74,[1]Sheet2!A74:I191,9,FALSE)</f>
        <v>Achmad Muzakki, S.Kom., M.Kom.</v>
      </c>
      <c r="G74" s="8" t="str">
        <f>VLOOKUP(B74,[1]Sheet2!A74:F191,6,FALSE)</f>
        <v>ZAC</v>
      </c>
    </row>
    <row r="75" spans="1:7" ht="18" x14ac:dyDescent="0.25">
      <c r="A75" s="4">
        <v>74</v>
      </c>
      <c r="B75" s="4" t="s">
        <v>93</v>
      </c>
      <c r="C75" s="4" t="s">
        <v>8</v>
      </c>
      <c r="D75" s="4" t="s">
        <v>21</v>
      </c>
      <c r="E75" s="4">
        <v>22960010</v>
      </c>
      <c r="F75" s="4" t="str">
        <f>VLOOKUP(B75,[1]Sheet2!A75:I192,9,FALSE)</f>
        <v>Silvi Istiqomah, S.T., M.T.</v>
      </c>
      <c r="G75" s="8" t="str">
        <f>VLOOKUP(B75,[1]Sheet2!A75:F192,6,FALSE)</f>
        <v>CEO</v>
      </c>
    </row>
    <row r="76" spans="1:7" ht="18" x14ac:dyDescent="0.25">
      <c r="A76" s="4">
        <v>75</v>
      </c>
      <c r="B76" s="4" t="s">
        <v>94</v>
      </c>
      <c r="C76" s="4" t="s">
        <v>8</v>
      </c>
      <c r="D76" s="4" t="s">
        <v>42</v>
      </c>
      <c r="E76" s="4">
        <v>22920004</v>
      </c>
      <c r="F76" s="4" t="str">
        <f>VLOOKUP(B76,[1]Sheet2!A76:I193,9,FALSE)</f>
        <v>Darlin Aulia, S. E., M.S.Ak.</v>
      </c>
      <c r="G76" s="8" t="str">
        <f>VLOOKUP(B76,[1]Sheet2!A76:F193,6,FALSE)</f>
        <v>DAQ</v>
      </c>
    </row>
    <row r="77" spans="1:7" ht="18" hidden="1" x14ac:dyDescent="0.25">
      <c r="A77" s="4">
        <v>76</v>
      </c>
      <c r="B77" s="4" t="s">
        <v>95</v>
      </c>
      <c r="C77" s="4" t="s">
        <v>35</v>
      </c>
      <c r="D77" s="4" t="s">
        <v>21</v>
      </c>
      <c r="E77" s="4">
        <v>22950052</v>
      </c>
      <c r="F77" s="4" t="str">
        <f>VLOOKUP(B77,[1]Sheet2!A77:I194,9,FALSE)</f>
        <v>Perdana Suteja Putra, S.T., M.T.</v>
      </c>
      <c r="G77" s="8" t="str">
        <f>VLOOKUP(B77,[1]Sheet2!A77:F194,6,FALSE)</f>
        <v>PSP</v>
      </c>
    </row>
    <row r="78" spans="1:7" ht="18" hidden="1" x14ac:dyDescent="0.25">
      <c r="A78" s="4">
        <v>77</v>
      </c>
      <c r="B78" s="4" t="s">
        <v>96</v>
      </c>
      <c r="C78" s="4" t="s">
        <v>35</v>
      </c>
      <c r="D78" s="4" t="s">
        <v>31</v>
      </c>
      <c r="E78" s="7">
        <v>22930046</v>
      </c>
      <c r="F78" s="4" t="str">
        <f>VLOOKUP(B78,[1]Sheet2!A78:I195,9,FALSE)</f>
        <v>Nanda Iryani, S.T., M.T.</v>
      </c>
      <c r="G78" s="8" t="str">
        <f>VLOOKUP(B78,[1]Sheet2!A78:F195,6,FALSE)</f>
        <v>NDZ</v>
      </c>
    </row>
    <row r="79" spans="1:7" ht="18" x14ac:dyDescent="0.25">
      <c r="A79" s="4">
        <v>78</v>
      </c>
      <c r="B79" s="4" t="s">
        <v>97</v>
      </c>
      <c r="C79" s="4" t="s">
        <v>8</v>
      </c>
      <c r="D79" s="4" t="s">
        <v>42</v>
      </c>
      <c r="E79" s="4">
        <v>15720039</v>
      </c>
      <c r="F79" s="4" t="str">
        <f>VLOOKUP(B79,[1]Sheet2!A79:I196,9,FALSE)</f>
        <v>Agoes Windarto, S.T., M.M.</v>
      </c>
      <c r="G79" s="8" t="str">
        <f>VLOOKUP(B79,[1]Sheet2!A79:F196,6,FALSE)</f>
        <v>AWX</v>
      </c>
    </row>
    <row r="80" spans="1:7" ht="18" x14ac:dyDescent="0.25">
      <c r="A80" s="4">
        <v>79</v>
      </c>
      <c r="B80" s="4" t="s">
        <v>98</v>
      </c>
      <c r="C80" s="4" t="s">
        <v>8</v>
      </c>
      <c r="D80" s="4" t="s">
        <v>28</v>
      </c>
      <c r="E80" s="4">
        <v>22940040</v>
      </c>
      <c r="F80" s="4" t="str">
        <f>VLOOKUP(B80,[1]Sheet2!A80:I197,9,FALSE)</f>
        <v>Adzanil Rachmadhi Putra, S.Kom., M.Kom.</v>
      </c>
      <c r="G80" s="8" t="str">
        <f>VLOOKUP(B80,[1]Sheet2!A80:F197,6,FALSE)</f>
        <v>ARX</v>
      </c>
    </row>
    <row r="81" spans="1:7" ht="18" hidden="1" x14ac:dyDescent="0.25">
      <c r="A81" s="4">
        <v>80</v>
      </c>
      <c r="B81" s="4" t="s">
        <v>99</v>
      </c>
      <c r="C81" s="4" t="s">
        <v>35</v>
      </c>
      <c r="D81" s="4" t="s">
        <v>28</v>
      </c>
      <c r="E81" s="4">
        <v>22930047</v>
      </c>
      <c r="F81" s="4" t="str">
        <f>VLOOKUP(B81,[1]Sheet2!A81:I198,9,FALSE)</f>
        <v>Affifiana Prisyanti, S.Kom., M.Kom.</v>
      </c>
      <c r="G81" s="8" t="str">
        <f>VLOOKUP(B81,[1]Sheet2!A81:F198,6,FALSE)</f>
        <v>APX</v>
      </c>
    </row>
    <row r="82" spans="1:7" ht="18" x14ac:dyDescent="0.25">
      <c r="A82" s="4">
        <v>81</v>
      </c>
      <c r="B82" s="4" t="s">
        <v>100</v>
      </c>
      <c r="C82" s="4" t="s">
        <v>8</v>
      </c>
      <c r="D82" s="4" t="s">
        <v>28</v>
      </c>
      <c r="E82" s="4">
        <v>22960061</v>
      </c>
      <c r="F82" s="4" t="str">
        <f>VLOOKUP(B82,[1]Sheet2!A82:I199,9,FALSE)</f>
        <v>Alifiansyah Arrizqy Hidayat, S.Kom., M.Kom.</v>
      </c>
      <c r="G82" s="8" t="str">
        <f>VLOOKUP(B82,[1]Sheet2!A82:F199,6,FALSE)</f>
        <v>AQH</v>
      </c>
    </row>
    <row r="83" spans="1:7" ht="18" x14ac:dyDescent="0.25">
      <c r="A83" s="4">
        <v>82</v>
      </c>
      <c r="B83" s="4" t="s">
        <v>101</v>
      </c>
      <c r="C83" s="4" t="s">
        <v>8</v>
      </c>
      <c r="D83" s="4" t="s">
        <v>28</v>
      </c>
      <c r="E83" s="4">
        <v>22950050</v>
      </c>
      <c r="F83" s="4" t="str">
        <f>VLOOKUP(B83,[1]Sheet2!A83:I200,9,FALSE)</f>
        <v>Anisa Dzulkarnain, S.Kom., M.Kom.</v>
      </c>
      <c r="G83" s="8" t="str">
        <f>VLOOKUP(B83,[1]Sheet2!A83:F200,6,FALSE)</f>
        <v>AZQ</v>
      </c>
    </row>
    <row r="84" spans="1:7" ht="18" x14ac:dyDescent="0.25">
      <c r="A84" s="4">
        <v>83</v>
      </c>
      <c r="B84" s="12" t="s">
        <v>102</v>
      </c>
      <c r="C84" s="4" t="s">
        <v>8</v>
      </c>
      <c r="D84" s="4" t="s">
        <v>28</v>
      </c>
      <c r="E84" s="4">
        <v>22900033</v>
      </c>
      <c r="F84" s="4" t="str">
        <f>VLOOKUP(B84,[1]Sheet2!A84:I201,9,FALSE)</f>
        <v>Anita Hakim Nasution, S.T., M.T.</v>
      </c>
      <c r="G84" s="8" t="str">
        <f>VLOOKUP(B84,[1]Sheet2!A84:F201,6,FALSE)</f>
        <v>AXA</v>
      </c>
    </row>
    <row r="85" spans="1:7" ht="18" x14ac:dyDescent="0.25">
      <c r="A85" s="13">
        <v>84</v>
      </c>
      <c r="B85" s="4" t="s">
        <v>103</v>
      </c>
      <c r="C85" s="14" t="s">
        <v>8</v>
      </c>
      <c r="D85" s="4" t="s">
        <v>28</v>
      </c>
      <c r="E85" s="4">
        <v>22930045</v>
      </c>
      <c r="F85" s="4" t="str">
        <f>VLOOKUP(B85,[1]Sheet2!A85:I202,9,FALSE)</f>
        <v>Arip Ramadan, S.Si., M.Stat.</v>
      </c>
      <c r="G85" s="8" t="str">
        <f>VLOOKUP(B85,[1]Sheet2!A85:F202,6,FALSE)</f>
        <v>RMV</v>
      </c>
    </row>
    <row r="86" spans="1:7" ht="18" x14ac:dyDescent="0.25">
      <c r="A86" s="4">
        <v>85</v>
      </c>
      <c r="B86" s="15" t="s">
        <v>104</v>
      </c>
      <c r="C86" s="4" t="s">
        <v>8</v>
      </c>
      <c r="D86" s="4" t="s">
        <v>42</v>
      </c>
      <c r="E86" s="4">
        <v>22970043</v>
      </c>
      <c r="F86" s="4" t="str">
        <f>VLOOKUP(B86,[1]Sheet2!A86:I203,9,FALSE)</f>
        <v>Wachda Yuniar Rochmah, S.M., M.M.</v>
      </c>
      <c r="G86" s="8" t="str">
        <f>VLOOKUP(B86,[1]Sheet2!A86:F203,6,FALSE)</f>
        <v>WYR</v>
      </c>
    </row>
    <row r="87" spans="1:7" ht="18" x14ac:dyDescent="0.25">
      <c r="A87" s="4">
        <v>86</v>
      </c>
      <c r="B87" s="4" t="s">
        <v>105</v>
      </c>
      <c r="C87" s="4" t="s">
        <v>8</v>
      </c>
      <c r="D87" s="4" t="s">
        <v>14</v>
      </c>
      <c r="E87" s="4">
        <v>22820015</v>
      </c>
      <c r="F87" s="4" t="str">
        <f>VLOOKUP(B87,[1]Sheet2!A87:I204,9,FALSE)</f>
        <v>Mustafa Kamal, S.Kom., M.Kom.</v>
      </c>
      <c r="G87" s="8" t="str">
        <f>VLOOKUP(B87,[1]Sheet2!A87:F204,6,FALSE)</f>
        <v>MFL</v>
      </c>
    </row>
    <row r="88" spans="1:7" ht="18" x14ac:dyDescent="0.25">
      <c r="A88" s="4">
        <v>87</v>
      </c>
      <c r="B88" s="4" t="s">
        <v>106</v>
      </c>
      <c r="C88" s="4" t="s">
        <v>8</v>
      </c>
      <c r="D88" s="4" t="s">
        <v>14</v>
      </c>
      <c r="E88" s="4">
        <v>22950049</v>
      </c>
      <c r="F88" s="4" t="str">
        <f>VLOOKUP(B88,[1]Sheet2!A88:I205,9,FALSE)</f>
        <v>Yohanes Setiawan, S.Si., M.Kom.</v>
      </c>
      <c r="G88" s="8" t="str">
        <f>VLOOKUP(B88,[1]Sheet2!A88:F205,6,FALSE)</f>
        <v>YOH</v>
      </c>
    </row>
    <row r="89" spans="1:7" ht="18" x14ac:dyDescent="0.25">
      <c r="A89" s="4">
        <v>88</v>
      </c>
      <c r="B89" s="4" t="s">
        <v>107</v>
      </c>
      <c r="C89" s="4" t="s">
        <v>8</v>
      </c>
      <c r="D89" s="4" t="s">
        <v>28</v>
      </c>
      <c r="E89" s="4">
        <v>22920034</v>
      </c>
      <c r="F89" s="4" t="str">
        <f>VLOOKUP(B89,[1]Sheet2!A89:I206,9,FALSE)</f>
        <v>Rosyid Abdillah, S.Si., M.Kom.</v>
      </c>
      <c r="G89" s="8" t="str">
        <f>VLOOKUP(B89,[1]Sheet2!A89:F206,6,FALSE)</f>
        <v>ROX</v>
      </c>
    </row>
    <row r="90" spans="1:7" ht="18" x14ac:dyDescent="0.25">
      <c r="A90" s="4">
        <v>89</v>
      </c>
      <c r="B90" s="4" t="s">
        <v>108</v>
      </c>
      <c r="C90" s="4" t="s">
        <v>8</v>
      </c>
      <c r="D90" s="4" t="s">
        <v>48</v>
      </c>
      <c r="E90" s="4">
        <v>22950051</v>
      </c>
      <c r="F90" s="4" t="str">
        <f>VLOOKUP(B90,[1]Sheet2!A90:I207,9,FALSE)</f>
        <v>Vessa Rizky Oktavia, S.Kom., M.Kom.</v>
      </c>
      <c r="G90" s="8" t="str">
        <f>VLOOKUP(B90,[1]Sheet2!A90:F207,6,FALSE)</f>
        <v>VRO</v>
      </c>
    </row>
    <row r="91" spans="1:7" ht="18" x14ac:dyDescent="0.25">
      <c r="A91" s="4">
        <v>90</v>
      </c>
      <c r="B91" s="4" t="s">
        <v>109</v>
      </c>
      <c r="C91" s="4" t="s">
        <v>8</v>
      </c>
      <c r="D91" s="4" t="s">
        <v>48</v>
      </c>
      <c r="E91" s="4">
        <v>22960060</v>
      </c>
      <c r="F91" s="4" t="str">
        <f>VLOOKUP(B91,[1]Sheet2!A91:I208,9,FALSE)</f>
        <v>Alqis Rausanfita, S.Kom., M.Kom.</v>
      </c>
      <c r="G91" s="8" t="str">
        <f>VLOOKUP(B91,[1]Sheet2!A91:F208,6,FALSE)</f>
        <v>ALQ</v>
      </c>
    </row>
    <row r="92" spans="1:7" ht="18" x14ac:dyDescent="0.25">
      <c r="A92" s="4">
        <v>91</v>
      </c>
      <c r="B92" s="4" t="s">
        <v>110</v>
      </c>
      <c r="C92" s="4" t="s">
        <v>8</v>
      </c>
      <c r="D92" s="4" t="s">
        <v>11</v>
      </c>
      <c r="E92" s="4">
        <v>21950014</v>
      </c>
      <c r="F92" s="4" t="str">
        <f>VLOOKUP(B92,[1]Sheet2!A92:I209,9,FALSE)</f>
        <v>Rifki Dwi Putranto, S.T., M.T.</v>
      </c>
      <c r="G92" s="8" t="str">
        <f>VLOOKUP(B92,[1]Sheet2!A92:F209,6,FALSE)</f>
        <v>RIX</v>
      </c>
    </row>
    <row r="93" spans="1:7" ht="18" x14ac:dyDescent="0.25">
      <c r="A93" s="4">
        <v>92</v>
      </c>
      <c r="B93" s="4" t="s">
        <v>111</v>
      </c>
      <c r="C93" s="4" t="s">
        <v>8</v>
      </c>
      <c r="D93" s="4" t="s">
        <v>21</v>
      </c>
      <c r="E93" s="4">
        <v>22970044</v>
      </c>
      <c r="F93" s="4" t="str">
        <f>VLOOKUP(B93,[1]Sheet2!A93:I210,9,FALSE)</f>
        <v>Huki Chandra, S.T., M.Sc.</v>
      </c>
      <c r="G93" s="8" t="str">
        <f>VLOOKUP(B93,[1]Sheet2!A93:F210,6,FALSE)</f>
        <v>HKC</v>
      </c>
    </row>
    <row r="94" spans="1:7" ht="18" x14ac:dyDescent="0.25">
      <c r="A94" s="4">
        <v>93</v>
      </c>
      <c r="B94" s="4" t="s">
        <v>112</v>
      </c>
      <c r="C94" s="4" t="s">
        <v>8</v>
      </c>
      <c r="D94" s="4" t="s">
        <v>28</v>
      </c>
      <c r="E94" s="4">
        <v>22980046</v>
      </c>
      <c r="F94" s="4" t="str">
        <f>VLOOKUP(B94,[1]Sheet2!A94:I211,9,FALSE)</f>
        <v>Tita Ayu Rospricilia, S.Kom., M.Kom.</v>
      </c>
      <c r="G94" s="8" t="str">
        <f>VLOOKUP(B94,[1]Sheet2!A94:F211,6,FALSE)</f>
        <v>TRL</v>
      </c>
    </row>
    <row r="95" spans="1:7" ht="18" x14ac:dyDescent="0.25">
      <c r="A95" s="4">
        <v>94</v>
      </c>
      <c r="B95" s="4" t="s">
        <v>113</v>
      </c>
      <c r="C95" s="4" t="s">
        <v>8</v>
      </c>
      <c r="D95" s="4" t="s">
        <v>23</v>
      </c>
      <c r="E95" s="5" t="s">
        <v>114</v>
      </c>
      <c r="F95" s="4" t="str">
        <f>VLOOKUP(B95,[1]Sheet2!A95:I212,9,FALSE)</f>
        <v>Dahliar Ananda, S.T., M.T.</v>
      </c>
      <c r="G95" s="8" t="str">
        <f>VLOOKUP(B95,[1]Sheet2!A95:F212,6,FALSE)</f>
        <v>DAN</v>
      </c>
    </row>
    <row r="96" spans="1:7" ht="18" x14ac:dyDescent="0.25">
      <c r="A96" s="4">
        <v>95</v>
      </c>
      <c r="B96" s="4" t="s">
        <v>115</v>
      </c>
      <c r="C96" s="4" t="s">
        <v>8</v>
      </c>
      <c r="D96" s="4" t="s">
        <v>9</v>
      </c>
      <c r="E96" s="4">
        <v>23900001</v>
      </c>
      <c r="F96" s="4" t="str">
        <f>VLOOKUP(B96,[1]Sheet2!A96:I213,9,FALSE)</f>
        <v>Hendy Briantoro, S.ST., M.T., Ph.D.</v>
      </c>
      <c r="G96" s="8" t="str">
        <f>VLOOKUP(B96,[1]Sheet2!A96:F213,6,FALSE)</f>
        <v>HBO</v>
      </c>
    </row>
    <row r="97" spans="1:7" ht="18" x14ac:dyDescent="0.25">
      <c r="A97" s="4">
        <v>96</v>
      </c>
      <c r="B97" s="4" t="s">
        <v>116</v>
      </c>
      <c r="C97" s="4" t="s">
        <v>8</v>
      </c>
      <c r="D97" s="4" t="s">
        <v>28</v>
      </c>
      <c r="E97" s="4">
        <v>22940041</v>
      </c>
      <c r="F97" s="4" t="str">
        <f>VLOOKUP(B97,[1]Sheet2!A97:I214,9,FALSE)</f>
        <v>Berlian Rahmy Lidiawaty, S.ST., M.MT.</v>
      </c>
      <c r="G97" s="8" t="str">
        <f>VLOOKUP(B97,[1]Sheet2!A97:F214,6,FALSE)</f>
        <v>BRL</v>
      </c>
    </row>
    <row r="98" spans="1:7" ht="18" x14ac:dyDescent="0.25">
      <c r="A98" s="4">
        <v>97</v>
      </c>
      <c r="B98" s="4" t="s">
        <v>117</v>
      </c>
      <c r="C98" s="4" t="s">
        <v>8</v>
      </c>
      <c r="D98" s="4" t="s">
        <v>9</v>
      </c>
      <c r="E98" s="4">
        <v>25760006</v>
      </c>
      <c r="F98" s="4" t="str">
        <f>VLOOKUP(B98,[1]Sheet2!A98:I215,9,FALSE)</f>
        <v>Dr. Mohammad Yanuar Hariyawan, S.T., M.T.</v>
      </c>
      <c r="G98" s="8" t="str">
        <f>VLOOKUP(B98,[1]Sheet2!A98:F215,6,FALSE)</f>
        <v>MYX</v>
      </c>
    </row>
    <row r="99" spans="1:7" ht="23.25" customHeight="1" x14ac:dyDescent="0.25">
      <c r="A99" s="4">
        <v>98</v>
      </c>
      <c r="B99" s="4" t="s">
        <v>118</v>
      </c>
      <c r="C99" s="4" t="s">
        <v>8</v>
      </c>
      <c r="D99" s="4" t="s">
        <v>11</v>
      </c>
      <c r="E99" s="9">
        <v>20900019</v>
      </c>
      <c r="F99" s="4" t="str">
        <f>VLOOKUP(B99,[1]Sheet2!A99:I216,9,FALSE)</f>
        <v>Dr. Chaironi Latif, S.Si.</v>
      </c>
      <c r="G99" s="8" t="str">
        <f>VLOOKUP(B99,[1]Sheet2!A99:F216,6,FALSE)</f>
        <v>CLF</v>
      </c>
    </row>
    <row r="100" spans="1:7" ht="18" x14ac:dyDescent="0.25">
      <c r="A100" s="4">
        <v>99</v>
      </c>
      <c r="B100" s="4" t="s">
        <v>119</v>
      </c>
      <c r="C100" s="4" t="s">
        <v>8</v>
      </c>
      <c r="D100" s="4" t="s">
        <v>21</v>
      </c>
      <c r="E100" s="4">
        <v>23970026</v>
      </c>
      <c r="F100" s="4" t="str">
        <f>VLOOKUP(B100,[1]Sheet2!A100:I217,9,FALSE)</f>
        <v>Aufar Fikri Dimyati, S.T., M.T.</v>
      </c>
      <c r="G100" s="8" t="str">
        <f>VLOOKUP(B100,[1]Sheet2!A100:F217,6,FALSE)</f>
        <v>AUX</v>
      </c>
    </row>
    <row r="101" spans="1:7" ht="19.5" customHeight="1" x14ac:dyDescent="0.25">
      <c r="A101" s="4">
        <v>100</v>
      </c>
      <c r="B101" s="4" t="s">
        <v>120</v>
      </c>
      <c r="C101" s="4" t="s">
        <v>8</v>
      </c>
      <c r="D101" s="4" t="s">
        <v>28</v>
      </c>
      <c r="E101" s="4">
        <v>23990020</v>
      </c>
      <c r="F101" s="4" t="str">
        <f>VLOOKUP(B101,[1]Sheet2!A101:I218,9,FALSE)</f>
        <v>Muhammad Ilham Alhari, S.Kom., M.Kom.</v>
      </c>
      <c r="G101" s="8" t="str">
        <f>VLOOKUP(B101,[1]Sheet2!A101:F218,6,FALSE)</f>
        <v>LHA</v>
      </c>
    </row>
    <row r="102" spans="1:7" ht="18" hidden="1" x14ac:dyDescent="0.25">
      <c r="A102" s="4">
        <v>101</v>
      </c>
      <c r="B102" s="4" t="s">
        <v>121</v>
      </c>
      <c r="C102" s="4" t="s">
        <v>35</v>
      </c>
      <c r="D102" s="4" t="s">
        <v>42</v>
      </c>
      <c r="E102" s="10">
        <v>23990018</v>
      </c>
      <c r="F102" s="10" t="str">
        <f>VLOOKUP(B102,[1]Sheet2!A102:I219,9,FALSE)</f>
        <v>Adisya Resti Rahmadanti, S.M., M.A.B.</v>
      </c>
      <c r="G102" s="11" t="str">
        <f>VLOOKUP(B102,[1]Sheet2!A102:F219,6,FALSE)</f>
        <v>NTI</v>
      </c>
    </row>
    <row r="103" spans="1:7" ht="18" x14ac:dyDescent="0.25">
      <c r="A103" s="4">
        <v>102</v>
      </c>
      <c r="B103" s="4" t="s">
        <v>122</v>
      </c>
      <c r="C103" s="4" t="s">
        <v>8</v>
      </c>
      <c r="D103" s="4" t="s">
        <v>23</v>
      </c>
      <c r="E103" s="4">
        <v>23900007</v>
      </c>
      <c r="F103" s="4" t="str">
        <f>VLOOKUP(B103,[1]Sheet2!A103:I220,9,FALSE)</f>
        <v>Arni Muarifah Amri, S.T., M.T.</v>
      </c>
      <c r="G103" s="8" t="str">
        <f>VLOOKUP(B103,[1]Sheet2!A103:F220,6,FALSE)</f>
        <v>NIE</v>
      </c>
    </row>
    <row r="104" spans="1:7" ht="18" x14ac:dyDescent="0.25">
      <c r="A104" s="4">
        <v>103</v>
      </c>
      <c r="B104" s="4" t="s">
        <v>123</v>
      </c>
      <c r="C104" s="4" t="s">
        <v>8</v>
      </c>
      <c r="D104" s="4" t="s">
        <v>48</v>
      </c>
      <c r="E104" s="4">
        <v>23970024</v>
      </c>
      <c r="F104" s="4" t="str">
        <f>VLOOKUP(B104,[1]Sheet2!A104:I221,9,FALSE)</f>
        <v>Daud Muhajir, S.Kom., M.Kom.</v>
      </c>
      <c r="G104" s="8" t="str">
        <f>VLOOKUP(B104,[1]Sheet2!A104:F221,6,FALSE)</f>
        <v>MHJ</v>
      </c>
    </row>
    <row r="105" spans="1:7" ht="18" x14ac:dyDescent="0.25">
      <c r="A105" s="4">
        <v>104</v>
      </c>
      <c r="B105" s="4" t="s">
        <v>124</v>
      </c>
      <c r="C105" s="4" t="s">
        <v>8</v>
      </c>
      <c r="D105" s="4" t="s">
        <v>48</v>
      </c>
      <c r="E105" s="4">
        <v>23960023</v>
      </c>
      <c r="F105" s="4" t="str">
        <f>VLOOKUP(B105,[1]Sheet2!A105:I222,9,FALSE)</f>
        <v>Dr. Dyah Putri Rahmawati, S.Stat.</v>
      </c>
      <c r="G105" s="8" t="str">
        <f>VLOOKUP(B105,[1]Sheet2!A105:F222,6,FALSE)</f>
        <v>DPH</v>
      </c>
    </row>
    <row r="106" spans="1:7" ht="18" x14ac:dyDescent="0.25">
      <c r="A106" s="4">
        <v>105</v>
      </c>
      <c r="B106" s="4" t="s">
        <v>125</v>
      </c>
      <c r="C106" s="4" t="s">
        <v>8</v>
      </c>
      <c r="D106" s="4" t="s">
        <v>31</v>
      </c>
      <c r="E106" s="4">
        <v>23910008</v>
      </c>
      <c r="F106" s="4" t="str">
        <f>VLOOKUP(B106,[1]Sheet2!A106:I223,9,FALSE)</f>
        <v>Eka Sari Oktarina, S.Kom., M.Eng.</v>
      </c>
      <c r="G106" s="8" t="str">
        <f>VLOOKUP(B106,[1]Sheet2!A106:F223,6,FALSE)</f>
        <v>ORN</v>
      </c>
    </row>
    <row r="107" spans="1:7" ht="18" x14ac:dyDescent="0.25">
      <c r="A107" s="4">
        <v>106</v>
      </c>
      <c r="B107" s="4" t="s">
        <v>126</v>
      </c>
      <c r="C107" s="4" t="s">
        <v>8</v>
      </c>
      <c r="D107" s="4" t="s">
        <v>42</v>
      </c>
      <c r="E107" s="4">
        <v>23990019</v>
      </c>
      <c r="F107" s="4" t="str">
        <f>VLOOKUP(B107,[1]Sheet2!A107:I224,9,FALSE)</f>
        <v>Krisnayanti Aditasari, S.M., M.MT.</v>
      </c>
      <c r="G107" s="8" t="str">
        <f>VLOOKUP(B107,[1]Sheet2!A107:F224,6,FALSE)</f>
        <v>KNY</v>
      </c>
    </row>
    <row r="108" spans="1:7" ht="18" x14ac:dyDescent="0.25">
      <c r="A108" s="4">
        <v>107</v>
      </c>
      <c r="B108" s="4" t="s">
        <v>127</v>
      </c>
      <c r="C108" s="4" t="s">
        <v>8</v>
      </c>
      <c r="D108" s="4" t="s">
        <v>48</v>
      </c>
      <c r="E108" s="4">
        <v>23950016</v>
      </c>
      <c r="F108" s="4" t="str">
        <f>VLOOKUP(B108,[1]Sheet2!A108:I225,9,FALSE)</f>
        <v>Pima Hani Safitri, S.Kom., M.Kom.</v>
      </c>
      <c r="G108" s="8" t="str">
        <f>VLOOKUP(B108,[1]Sheet2!A108:F225,6,FALSE)</f>
        <v>PIM</v>
      </c>
    </row>
    <row r="109" spans="1:7" ht="18" x14ac:dyDescent="0.25">
      <c r="A109" s="4">
        <v>108</v>
      </c>
      <c r="B109" s="4" t="s">
        <v>128</v>
      </c>
      <c r="C109" s="4" t="s">
        <v>8</v>
      </c>
      <c r="D109" s="4" t="s">
        <v>48</v>
      </c>
      <c r="E109" s="4">
        <v>23980024</v>
      </c>
      <c r="F109" s="4" t="str">
        <f>VLOOKUP(B109,[1]Sheet2!A109:I226,9,FALSE)</f>
        <v>Tanzilal Mustaqim, S.Kom., M.Kom.</v>
      </c>
      <c r="G109" s="8" t="str">
        <f>VLOOKUP(B109,[1]Sheet2!A109:F226,6,FALSE)</f>
        <v>TZL</v>
      </c>
    </row>
    <row r="110" spans="1:7" ht="18" x14ac:dyDescent="0.25">
      <c r="A110" s="4">
        <v>109</v>
      </c>
      <c r="B110" s="4" t="s">
        <v>129</v>
      </c>
      <c r="C110" s="4" t="s">
        <v>8</v>
      </c>
      <c r="D110" s="4" t="s">
        <v>14</v>
      </c>
      <c r="E110" s="4">
        <v>22970009</v>
      </c>
      <c r="F110" s="4" t="str">
        <f>VLOOKUP(B110,[1]Sheet2!A110:I227,9,FALSE)</f>
        <v>Mastuty Ayu Ningtyas, S.Kom., M.MT.</v>
      </c>
      <c r="G110" s="8" t="str">
        <f>VLOOKUP(B110,[1]Sheet2!A110:F227,6,FALSE)</f>
        <v>MUN</v>
      </c>
    </row>
    <row r="111" spans="1:7" ht="18" x14ac:dyDescent="0.25">
      <c r="A111" s="4">
        <v>110</v>
      </c>
      <c r="B111" s="4" t="s">
        <v>130</v>
      </c>
      <c r="C111" s="4" t="s">
        <v>8</v>
      </c>
      <c r="D111" s="4" t="s">
        <v>21</v>
      </c>
      <c r="E111" s="4">
        <v>22950019</v>
      </c>
      <c r="F111" s="4" t="str">
        <f>VLOOKUP(B111,[1]Sheet2!A111:I228,9,FALSE)</f>
        <v>Paramaditya Arismawati, S.T., M.T.</v>
      </c>
      <c r="G111" s="8" t="str">
        <f>VLOOKUP(B111,[1]Sheet2!A111:F228,6,FALSE)</f>
        <v>PAM</v>
      </c>
    </row>
    <row r="112" spans="1:7" ht="18" hidden="1" x14ac:dyDescent="0.25">
      <c r="A112" s="4">
        <v>111</v>
      </c>
      <c r="B112" s="4" t="s">
        <v>131</v>
      </c>
      <c r="C112" s="4" t="s">
        <v>35</v>
      </c>
      <c r="D112" s="4" t="s">
        <v>11</v>
      </c>
      <c r="E112" s="4">
        <v>19700004</v>
      </c>
      <c r="F112" s="4" t="str">
        <f>VLOOKUP(B112,[1]Sheet2!A112:I229,9,FALSE)</f>
        <v>Prof. Dr. Tri Arief Sardjono, S.T., M.T.</v>
      </c>
      <c r="G112" s="8" t="str">
        <f>VLOOKUP(B112,[1]Sheet2!A112:F229,6,FALSE)</f>
        <v>TAF</v>
      </c>
    </row>
    <row r="113" spans="1:7" ht="18" hidden="1" x14ac:dyDescent="0.25">
      <c r="A113" s="4">
        <v>112</v>
      </c>
      <c r="B113" s="4" t="s">
        <v>132</v>
      </c>
      <c r="C113" s="4" t="s">
        <v>35</v>
      </c>
      <c r="D113" s="4" t="s">
        <v>54</v>
      </c>
      <c r="E113" s="7">
        <v>20950049</v>
      </c>
      <c r="F113" s="4">
        <f>VLOOKUP(B113,[1]Sheet2!A113:I230,9,FALSE)</f>
        <v>0</v>
      </c>
      <c r="G113" s="8" t="e">
        <f>VLOOKUP(B113,[1]Sheet2!A113:F230,6,FALSE)</f>
        <v>#N/A</v>
      </c>
    </row>
    <row r="114" spans="1:7" ht="18" hidden="1" x14ac:dyDescent="0.25">
      <c r="A114" s="4">
        <v>113</v>
      </c>
      <c r="B114" s="4" t="s">
        <v>133</v>
      </c>
      <c r="C114" s="4" t="s">
        <v>35</v>
      </c>
      <c r="D114" s="4" t="s">
        <v>21</v>
      </c>
      <c r="E114" s="4">
        <v>20690002</v>
      </c>
      <c r="F114" s="4" t="str">
        <f>VLOOKUP(B114,[1]Sheet2!A114:I231,9,FALSE)</f>
        <v>Dr. Bambang Lelono Widjiantoro, S.T., M.T.</v>
      </c>
      <c r="G114" s="8" t="str">
        <f>VLOOKUP(B114,[1]Sheet2!A114:F231,6,FALSE)</f>
        <v>BLW</v>
      </c>
    </row>
    <row r="115" spans="1:7" ht="18" x14ac:dyDescent="0.25">
      <c r="A115" s="4">
        <v>114</v>
      </c>
      <c r="B115" s="4" t="s">
        <v>134</v>
      </c>
      <c r="C115" s="4" t="s">
        <v>8</v>
      </c>
      <c r="D115" s="4" t="s">
        <v>48</v>
      </c>
      <c r="E115" s="4">
        <v>23900006</v>
      </c>
      <c r="F115" s="4" t="str">
        <f>VLOOKUP(B115,[1]Sheet2!A115:I232,9,FALSE)</f>
        <v>Fandisya Rahman, S.Kom., M.Kom.</v>
      </c>
      <c r="G115" s="8" t="str">
        <f>VLOOKUP(B115,[1]Sheet2!A115:F232,6,FALSE)</f>
        <v>FND</v>
      </c>
    </row>
    <row r="116" spans="1:7" ht="18" hidden="1" x14ac:dyDescent="0.25">
      <c r="A116" s="4">
        <v>115</v>
      </c>
      <c r="B116" s="4" t="s">
        <v>135</v>
      </c>
      <c r="C116" s="4" t="s">
        <v>35</v>
      </c>
      <c r="D116" s="4" t="s">
        <v>42</v>
      </c>
      <c r="E116" s="4">
        <v>24870001</v>
      </c>
      <c r="F116" s="4" t="str">
        <f>VLOOKUP(B116,[1]Sheet2!A116:I233,9,FALSE)</f>
        <v>Rudi Harianto, S.E., M.A.</v>
      </c>
      <c r="G116" s="8" t="str">
        <f>VLOOKUP(B116,[1]Sheet2!A116:F233,6,FALSE)</f>
        <v>RHO</v>
      </c>
    </row>
    <row r="117" spans="1:7" ht="18" x14ac:dyDescent="0.25">
      <c r="A117" s="4">
        <v>116</v>
      </c>
      <c r="B117" s="4" t="s">
        <v>136</v>
      </c>
      <c r="C117" s="4" t="s">
        <v>8</v>
      </c>
      <c r="D117" s="4" t="s">
        <v>42</v>
      </c>
      <c r="E117" s="4">
        <v>24970010</v>
      </c>
      <c r="F117" s="4" t="str">
        <f>VLOOKUP(B117,[1]Sheet2!A117:I234,9,FALSE)</f>
        <v>N. Azizia Gia Mutiarasari, S.M., MBA</v>
      </c>
      <c r="G117" s="8" t="str">
        <f>VLOOKUP(B117,[1]Sheet2!A117:F234,6,FALSE)</f>
        <v>AGM</v>
      </c>
    </row>
    <row r="118" spans="1:7" ht="18" x14ac:dyDescent="0.25">
      <c r="A118" s="4">
        <v>117</v>
      </c>
      <c r="B118" s="4" t="s">
        <v>137</v>
      </c>
      <c r="C118" s="4" t="s">
        <v>8</v>
      </c>
      <c r="D118" s="4" t="s">
        <v>48</v>
      </c>
      <c r="E118" s="4">
        <v>24980018</v>
      </c>
      <c r="F118" s="4" t="str">
        <f>VLOOKUP(B118,[1]Sheet2!A118:I235,9,FALSE)</f>
        <v>Dimas Chaerul Ekty Saputra, S.Kom., M.Sc.</v>
      </c>
      <c r="G118" s="8" t="str">
        <f>VLOOKUP(B118,[1]Sheet2!A118:F235,6,FALSE)</f>
        <v>DCE</v>
      </c>
    </row>
    <row r="119" spans="1:7" ht="18" x14ac:dyDescent="0.25">
      <c r="A119" s="4">
        <v>118</v>
      </c>
      <c r="B119" s="4" t="s">
        <v>138</v>
      </c>
      <c r="C119" s="4" t="s">
        <v>8</v>
      </c>
      <c r="D119" s="4" t="s">
        <v>42</v>
      </c>
      <c r="E119" s="4">
        <v>24800005</v>
      </c>
      <c r="F119" s="4" t="str">
        <f>VLOOKUP(B119,[1]Sheet2!A119:I236,9,FALSE)</f>
        <v>Dr.M. Bambang Agus Sumantri, S.IP., M.M.</v>
      </c>
      <c r="G119" s="8" t="str">
        <f>VLOOKUP(B119,[1]Sheet2!A119:F236,6,FALSE)</f>
        <v>BSG</v>
      </c>
    </row>
    <row r="120" spans="1:7" ht="18" x14ac:dyDescent="0.25">
      <c r="A120" s="4">
        <v>119</v>
      </c>
      <c r="B120" s="4" t="s">
        <v>139</v>
      </c>
      <c r="C120" s="4" t="s">
        <v>8</v>
      </c>
      <c r="D120" s="4" t="s">
        <v>54</v>
      </c>
      <c r="E120" s="4">
        <v>25820001</v>
      </c>
      <c r="F120" s="4" t="s">
        <v>141</v>
      </c>
      <c r="G120" s="8" t="s">
        <v>140</v>
      </c>
    </row>
    <row r="121" spans="1:7" ht="18" x14ac:dyDescent="0.25">
      <c r="A121" s="4">
        <v>120</v>
      </c>
      <c r="B121" s="4" t="s">
        <v>142</v>
      </c>
      <c r="C121" s="4" t="s">
        <v>8</v>
      </c>
      <c r="D121" s="4" t="s">
        <v>42</v>
      </c>
      <c r="E121" s="4">
        <v>25950003</v>
      </c>
      <c r="F121" s="4" t="s">
        <v>144</v>
      </c>
      <c r="G121" s="8" t="s">
        <v>143</v>
      </c>
    </row>
    <row r="122" spans="1:7" ht="18" hidden="1" x14ac:dyDescent="0.25">
      <c r="A122" s="4">
        <v>121</v>
      </c>
      <c r="B122" s="4" t="s">
        <v>145</v>
      </c>
      <c r="C122" s="4" t="s">
        <v>35</v>
      </c>
      <c r="D122" s="4" t="s">
        <v>42</v>
      </c>
      <c r="E122" s="4">
        <v>25980005</v>
      </c>
      <c r="F122" s="4" t="s">
        <v>147</v>
      </c>
      <c r="G122" s="8" t="s">
        <v>146</v>
      </c>
    </row>
    <row r="123" spans="1:7" ht="18" x14ac:dyDescent="0.25">
      <c r="A123" s="4">
        <v>122</v>
      </c>
      <c r="B123" s="4" t="s">
        <v>148</v>
      </c>
      <c r="C123" s="4" t="s">
        <v>8</v>
      </c>
      <c r="D123" s="4" t="s">
        <v>71</v>
      </c>
      <c r="E123" s="4">
        <v>25990003</v>
      </c>
      <c r="F123" s="4" t="s">
        <v>150</v>
      </c>
      <c r="G123" s="8" t="s">
        <v>149</v>
      </c>
    </row>
    <row r="124" spans="1:7" ht="18" x14ac:dyDescent="0.25">
      <c r="A124" s="4">
        <v>123</v>
      </c>
      <c r="B124" s="4" t="s">
        <v>151</v>
      </c>
      <c r="C124" s="4" t="s">
        <v>8</v>
      </c>
      <c r="D124" s="4" t="s">
        <v>42</v>
      </c>
      <c r="E124" s="4">
        <v>25010008</v>
      </c>
      <c r="F124" s="4" t="s">
        <v>153</v>
      </c>
      <c r="G124" s="8" t="s">
        <v>152</v>
      </c>
    </row>
    <row r="125" spans="1:7" ht="18" x14ac:dyDescent="0.25">
      <c r="A125" s="4">
        <v>124</v>
      </c>
      <c r="B125" s="4" t="s">
        <v>154</v>
      </c>
      <c r="C125" s="4" t="s">
        <v>8</v>
      </c>
      <c r="D125" s="4" t="s">
        <v>42</v>
      </c>
      <c r="E125" s="4">
        <v>25900003</v>
      </c>
      <c r="F125" s="4" t="s">
        <v>156</v>
      </c>
      <c r="G125" s="8" t="s">
        <v>155</v>
      </c>
    </row>
    <row r="126" spans="1:7" ht="18" x14ac:dyDescent="0.25">
      <c r="A126" s="4">
        <v>125</v>
      </c>
      <c r="B126" s="4" t="s">
        <v>157</v>
      </c>
      <c r="C126" s="4" t="s">
        <v>8</v>
      </c>
      <c r="D126" s="4" t="s">
        <v>48</v>
      </c>
      <c r="E126" s="4">
        <v>25989002</v>
      </c>
      <c r="F126" s="4" t="s">
        <v>159</v>
      </c>
      <c r="G126" s="8" t="s">
        <v>158</v>
      </c>
    </row>
    <row r="127" spans="1:7" ht="19.5" customHeight="1" x14ac:dyDescent="0.25">
      <c r="A127" s="4">
        <v>126</v>
      </c>
      <c r="B127" s="4" t="s">
        <v>160</v>
      </c>
      <c r="C127" s="4" t="s">
        <v>8</v>
      </c>
      <c r="D127" s="4" t="s">
        <v>23</v>
      </c>
      <c r="E127" s="4">
        <v>23920006</v>
      </c>
      <c r="F127" s="4" t="str">
        <f>VLOOKUP(B127,[1]Sheet2!A111:I228,9,FALSE)</f>
        <v>Alon Jala Tirta Segara, S.Kom., M.Kom.</v>
      </c>
      <c r="G127" s="8" t="str">
        <f>VLOOKUP(B127,[1]Sheet2!A111:F228,6,FALSE)</f>
        <v>AJS</v>
      </c>
    </row>
    <row r="128" spans="1:7" ht="19.5" customHeight="1" x14ac:dyDescent="0.25">
      <c r="A128" s="4">
        <v>127</v>
      </c>
      <c r="B128" s="6" t="s">
        <v>161</v>
      </c>
      <c r="C128" s="4" t="s">
        <v>8</v>
      </c>
      <c r="D128" s="4" t="s">
        <v>42</v>
      </c>
      <c r="E128" s="4">
        <v>25010028</v>
      </c>
      <c r="F128" s="4" t="str">
        <f>VLOOKUP(B128,[1]Sheet2!A112:I229,9,FALSE)</f>
        <v>Muhammad Farhansyah Mondari, S.M., M.M.</v>
      </c>
      <c r="G128" s="8" t="str">
        <f>VLOOKUP(B128,[1]Sheet2!A112:F229,6,FALSE)</f>
        <v>HRH</v>
      </c>
    </row>
    <row r="129" spans="1:7" ht="19.5" customHeight="1" x14ac:dyDescent="0.25">
      <c r="A129" s="4">
        <v>128</v>
      </c>
      <c r="B129" s="4" t="s">
        <v>162</v>
      </c>
      <c r="C129" s="4" t="s">
        <v>8</v>
      </c>
      <c r="D129" s="4" t="s">
        <v>28</v>
      </c>
      <c r="E129" s="4">
        <v>25990026</v>
      </c>
      <c r="F129" s="4" t="str">
        <f>VLOOKUP(B129,[1]Sheet2!A113:I230,9,FALSE)</f>
        <v>Rizqi Ramadhan, S.T., M.Kom.</v>
      </c>
      <c r="G129" s="8" t="str">
        <f>VLOOKUP(B129,[1]Sheet2!A113:F230,6,FALSE)</f>
        <v>ZQI</v>
      </c>
    </row>
    <row r="130" spans="1:7" ht="19.5" hidden="1" customHeight="1" x14ac:dyDescent="0.25">
      <c r="A130" s="4">
        <v>129</v>
      </c>
      <c r="B130" s="4" t="s">
        <v>163</v>
      </c>
      <c r="C130" s="4" t="s">
        <v>164</v>
      </c>
      <c r="D130" s="4" t="s">
        <v>31</v>
      </c>
      <c r="E130" s="4">
        <v>25000022</v>
      </c>
      <c r="F130" s="4" t="str">
        <f>VLOOKUP(B130,[1]Sheet2!A114:I231,9,FALSE)</f>
        <v>Rohmah Hidayah, S.Tr.T., M.T.</v>
      </c>
      <c r="G130" s="8" t="str">
        <f>VLOOKUP(B130,[1]Sheet2!A114:F231,6,FALSE)</f>
        <v>HYH</v>
      </c>
    </row>
    <row r="131" spans="1:7" ht="19.5" customHeight="1" x14ac:dyDescent="0.25">
      <c r="A131" s="4">
        <v>130</v>
      </c>
      <c r="B131" s="4" t="s">
        <v>165</v>
      </c>
      <c r="C131" s="4" t="s">
        <v>8</v>
      </c>
      <c r="D131" s="4" t="s">
        <v>21</v>
      </c>
      <c r="E131" s="4">
        <v>25010029</v>
      </c>
      <c r="F131" s="4" t="str">
        <f>VLOOKUP(B131,[1]Sheet2!A115:I232,9,FALSE)</f>
        <v>Salsabila Putri Indah Sari, S.T., M.T.</v>
      </c>
      <c r="G131" s="8" t="str">
        <f>VLOOKUP(B131,[1]Sheet2!A115:F232,6,FALSE)</f>
        <v>SSP</v>
      </c>
    </row>
    <row r="132" spans="1:7" ht="19.5" customHeight="1" x14ac:dyDescent="0.25">
      <c r="A132" s="4">
        <v>131</v>
      </c>
      <c r="B132" s="4" t="s">
        <v>166</v>
      </c>
      <c r="C132" s="4" t="s">
        <v>8</v>
      </c>
      <c r="D132" s="4" t="s">
        <v>14</v>
      </c>
      <c r="E132" s="4">
        <v>25970019</v>
      </c>
      <c r="F132" s="4" t="str">
        <f>VLOOKUP(B132,[1]Sheet2!A116:I233,9,FALSE)</f>
        <v>Qori Afiata Fiddina, S.Mat., M.Mat.</v>
      </c>
      <c r="G132" s="4" t="s">
        <v>167</v>
      </c>
    </row>
    <row r="133" spans="1:7" ht="18" x14ac:dyDescent="0.25">
      <c r="A133" s="4">
        <v>132</v>
      </c>
      <c r="B133" s="4" t="s">
        <v>168</v>
      </c>
      <c r="C133" s="4" t="s">
        <v>8</v>
      </c>
      <c r="D133" s="4" t="s">
        <v>71</v>
      </c>
      <c r="E133" s="4">
        <v>25980022</v>
      </c>
      <c r="F133" s="4" t="str">
        <f>VLOOKUP(B133,[1]Sheet2!A73:I190,9,FALSE)</f>
        <v>Nuchaila Ainiyah, S.Mat., M.Mat.</v>
      </c>
      <c r="G133" s="4" t="s">
        <v>169</v>
      </c>
    </row>
    <row r="134" spans="1:7" ht="18" x14ac:dyDescent="0.25">
      <c r="A134" s="4">
        <v>133</v>
      </c>
      <c r="B134" s="4" t="s">
        <v>170</v>
      </c>
      <c r="C134" s="4" t="s">
        <v>8</v>
      </c>
      <c r="D134" s="4" t="s">
        <v>71</v>
      </c>
      <c r="E134" s="4">
        <v>25010040</v>
      </c>
      <c r="F134" s="4" t="str">
        <f>VLOOKUP(B134,[1]Sheet2!A74:I191,9,FALSE)</f>
        <v>Faisal Zaidan Pradana, S.Aktr., M.Si.</v>
      </c>
      <c r="G134" s="4" t="s">
        <v>171</v>
      </c>
    </row>
    <row r="135" spans="1:7" ht="18" x14ac:dyDescent="0.25">
      <c r="A135" s="4">
        <v>134</v>
      </c>
      <c r="B135" s="4" t="s">
        <v>172</v>
      </c>
      <c r="C135" s="4" t="s">
        <v>8</v>
      </c>
      <c r="D135" s="4" t="s">
        <v>71</v>
      </c>
      <c r="E135" s="4">
        <v>25980028</v>
      </c>
      <c r="F135" s="4" t="str">
        <f>VLOOKUP(B135,[1]Sheet2!A75:I192,9,FALSE)</f>
        <v>Rafika Damayanti Sururin Nufus, S.Mat., M.Si.</v>
      </c>
      <c r="G135" s="8" t="s">
        <v>173</v>
      </c>
    </row>
    <row r="136" spans="1:7" ht="18" x14ac:dyDescent="0.25">
      <c r="A136" s="4">
        <v>135</v>
      </c>
      <c r="B136" s="4" t="s">
        <v>174</v>
      </c>
      <c r="C136" s="4" t="s">
        <v>8</v>
      </c>
      <c r="D136" s="4" t="s">
        <v>48</v>
      </c>
      <c r="E136" s="4">
        <v>25950039</v>
      </c>
      <c r="F136" s="4" t="str">
        <f>VLOOKUP(B136,[1]Sheet2!A120:I237,9,FALSE)</f>
        <v>Affifah Mutiara Pertiwi, S.Kom., M.Cs.</v>
      </c>
      <c r="G136" s="8" t="str">
        <f>VLOOKUP(B136,[1]Sheet2!A120:F237,6,FALSE)</f>
        <v>FFM</v>
      </c>
    </row>
    <row r="137" spans="1:7" ht="18" x14ac:dyDescent="0.25">
      <c r="A137" s="4">
        <v>136</v>
      </c>
      <c r="B137" s="4" t="s">
        <v>175</v>
      </c>
      <c r="C137" s="4" t="s">
        <v>8</v>
      </c>
      <c r="D137" s="4" t="s">
        <v>48</v>
      </c>
      <c r="E137" s="4">
        <v>25000029</v>
      </c>
      <c r="F137" s="4" t="str">
        <f>VLOOKUP(B137,[1]Sheet2!A121:I238,9,FALSE)</f>
        <v>Karina Fitriwulandari Ilham, S.Kom., M.Kom.</v>
      </c>
      <c r="G137" s="8" t="str">
        <f>VLOOKUP(B137,[1]Sheet2!A121:F238,6,FALSE)</f>
        <v>KFI</v>
      </c>
    </row>
    <row r="138" spans="1:7" ht="15" customHeight="1" x14ac:dyDescent="0.25">
      <c r="A138" s="4">
        <v>137</v>
      </c>
      <c r="B138" s="4" t="s">
        <v>176</v>
      </c>
      <c r="C138" s="4" t="s">
        <v>8</v>
      </c>
      <c r="D138" s="4" t="s">
        <v>31</v>
      </c>
      <c r="E138" s="16" t="s">
        <v>177</v>
      </c>
      <c r="F138" s="4" t="str">
        <f>VLOOKUP(B138,[1]Sheet2!A117:I234,9,FALSE)</f>
        <v>Fanda Lyta Suzanayanti, S.T., M.T.</v>
      </c>
      <c r="G138" s="8" t="str">
        <f>VLOOKUP(B138,[1]Sheet2!A122:F239,6,FALSE)</f>
        <v>FLY</v>
      </c>
    </row>
    <row r="139" spans="1:7" ht="15" customHeight="1" x14ac:dyDescent="0.25">
      <c r="A139" s="4">
        <v>138</v>
      </c>
      <c r="B139" s="4" t="s">
        <v>178</v>
      </c>
      <c r="C139" s="4" t="s">
        <v>8</v>
      </c>
      <c r="D139" s="4" t="s">
        <v>21</v>
      </c>
      <c r="E139" s="4">
        <v>26020011</v>
      </c>
      <c r="F139" s="4" t="str">
        <f>VLOOKUP(B139,[1]Sheet2!A118:I235,9,FALSE)</f>
        <v>Laila Putri Faradilah, S.T., M.T.</v>
      </c>
      <c r="G139" s="8" t="str">
        <f>VLOOKUP(B139,[1]Sheet2!A123:F240,6,FALSE)</f>
        <v>LPF</v>
      </c>
    </row>
    <row r="140" spans="1:7" ht="15" customHeight="1" x14ac:dyDescent="0.25">
      <c r="A140" s="4">
        <v>139</v>
      </c>
      <c r="B140" s="4" t="s">
        <v>179</v>
      </c>
      <c r="C140" s="4" t="s">
        <v>8</v>
      </c>
      <c r="D140" s="4" t="s">
        <v>21</v>
      </c>
      <c r="E140" s="4">
        <v>26800006</v>
      </c>
      <c r="F140" s="4" t="str">
        <f>VLOOKUP(B140,[1]Sheet2!A119:I236,9,FALSE)</f>
        <v>Rizal Ardianto, S.T., M.T.</v>
      </c>
      <c r="G140" s="8" t="str">
        <f>VLOOKUP(B140,[1]Sheet2!A124:F241,6,FALSE)</f>
        <v>RRO</v>
      </c>
    </row>
    <row r="141" spans="1:7" ht="15" customHeight="1" x14ac:dyDescent="0.25">
      <c r="A141" s="4">
        <v>140</v>
      </c>
      <c r="B141" s="4" t="s">
        <v>180</v>
      </c>
      <c r="C141" s="4" t="s">
        <v>8</v>
      </c>
      <c r="D141" s="4" t="s">
        <v>42</v>
      </c>
      <c r="E141" s="4">
        <v>26980037</v>
      </c>
      <c r="F141" s="4" t="str">
        <f>VLOOKUP(B141,[1]Sheet2!A120:I237,9,FALSE)</f>
        <v>Siskha Nur Khasanah, S.M., M.S.M., M.B.A.</v>
      </c>
      <c r="G141" s="8" t="str">
        <f>VLOOKUP(B141,[1]Sheet2!A125:F242,6,FALSE)</f>
        <v>SNK</v>
      </c>
    </row>
    <row r="142" spans="1:7" ht="15" customHeight="1" x14ac:dyDescent="0.25">
      <c r="A142" s="4">
        <v>141</v>
      </c>
      <c r="B142" s="4" t="s">
        <v>181</v>
      </c>
      <c r="C142" s="4" t="s">
        <v>8</v>
      </c>
      <c r="D142" s="4" t="s">
        <v>42</v>
      </c>
      <c r="E142" s="4">
        <v>26010022</v>
      </c>
      <c r="F142" s="4" t="str">
        <f>VLOOKUP(B142,[1]Sheet2!A121:I238,9,FALSE)</f>
        <v>Qashiratuth Tharfi Aini, S.EI., M.SEI.</v>
      </c>
      <c r="G142" s="8" t="str">
        <f>VLOOKUP(B142,[1]Sheet2!A126:F243,6,FALSE)</f>
        <v>QSH</v>
      </c>
    </row>
    <row r="143" spans="1:7" ht="15" customHeight="1" x14ac:dyDescent="0.25">
      <c r="A143" s="4">
        <v>142</v>
      </c>
      <c r="B143" s="4" t="s">
        <v>182</v>
      </c>
      <c r="C143" s="4" t="s">
        <v>8</v>
      </c>
      <c r="D143" s="4" t="s">
        <v>48</v>
      </c>
      <c r="E143" s="4">
        <v>26990042</v>
      </c>
      <c r="F143" s="4" t="str">
        <f>VLOOKUP(B143,[1]Sheet2!A122:I239,9,FALSE)</f>
        <v>Erita Cicilia Febrianti, S.Tr.T, M.Tr.Kom.</v>
      </c>
      <c r="G143" s="8" t="str">
        <f>VLOOKUP(B143,[1]Sheet2!A127:F244,6,FALSE)</f>
        <v>CCL</v>
      </c>
    </row>
    <row r="144" spans="1:7" ht="15" customHeight="1" x14ac:dyDescent="0.25">
      <c r="D144" s="4"/>
    </row>
  </sheetData>
  <autoFilter ref="A1:G138" xr:uid="{00000000-0001-0000-0000-000000000000}">
    <filterColumn colId="2">
      <filters>
        <filter val="Aktif"/>
      </filters>
    </filterColumn>
    <sortState xmlns:xlrd2="http://schemas.microsoft.com/office/spreadsheetml/2017/richdata2" ref="A2:G138">
      <sortCondition ref="A1:A138"/>
    </sortState>
  </autoFilter>
  <conditionalFormatting sqref="B2:B143">
    <cfRule type="duplicateValues" dxfId="1" priority="1"/>
  </conditionalFormatting>
  <conditionalFormatting sqref="C1:C135 C144:C1048576">
    <cfRule type="cellIs" dxfId="0" priority="2" operator="equal">
      <formula>"Non-Aktif"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Dosen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AKADEMIK KAMPUS SURABAYA</dc:creator>
  <cp:lastModifiedBy>AKADEMIK KAMPUS SURABAYA</cp:lastModifiedBy>
  <dcterms:created xsi:type="dcterms:W3CDTF">2026-02-23T00:15:29Z</dcterms:created>
  <dcterms:modified xsi:type="dcterms:W3CDTF">2026-02-23T00:16:30Z</dcterms:modified>
</cp:coreProperties>
</file>